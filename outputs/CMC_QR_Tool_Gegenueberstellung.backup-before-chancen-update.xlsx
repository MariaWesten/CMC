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ariaake/Documents/CMC/outputs/"/>
    </mc:Choice>
  </mc:AlternateContent>
  <xr:revisionPtr revIDLastSave="0" documentId="13_ncr:1_{EDCD7FD9-1A6B-9A4A-894C-B31FF4FDD25C}" xr6:coauthVersionLast="47" xr6:coauthVersionMax="47" xr10:uidLastSave="{00000000-0000-0000-0000-000000000000}"/>
  <bookViews>
    <workbookView xWindow="0" yWindow="660" windowWidth="29400" windowHeight="16660" activeTab="7" xr2:uid="{00000000-000D-0000-FFFF-FFFF00000000}"/>
  </bookViews>
  <sheets>
    <sheet name="Entscheidungsmatrix" sheetId="1" r:id="rId1"/>
    <sheet name="Zusammenfassung" sheetId="2" r:id="rId2"/>
    <sheet name="Vorteile &amp; Chancen" sheetId="3" r:id="rId3"/>
    <sheet name="Entwicklung vs Markttool" sheetId="4" r:id="rId4"/>
    <sheet name="Anforderungsmatrix" sheetId="5" r:id="rId5"/>
    <sheet name="Anbieter-Vergleich" sheetId="6" r:id="rId6"/>
    <sheet name="Risiken &amp; nächste Schritte" sheetId="7" r:id="rId7"/>
    <sheet name="Quelle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4" l="1"/>
  <c r="C17" i="4"/>
  <c r="C18" i="4" s="1"/>
  <c r="E24" i="4" s="1"/>
  <c r="B17" i="4"/>
  <c r="D23" i="4" s="1"/>
  <c r="C7" i="4"/>
  <c r="C23" i="4" s="1"/>
  <c r="B7" i="4"/>
  <c r="B23" i="4" s="1"/>
  <c r="F23" i="4" s="1"/>
  <c r="B14" i="2"/>
  <c r="B13" i="2"/>
  <c r="B12" i="2"/>
  <c r="D13" i="1"/>
  <c r="C13" i="1"/>
  <c r="B13" i="1"/>
  <c r="E23" i="4" l="1"/>
  <c r="G23" i="4" s="1"/>
  <c r="B24" i="4"/>
  <c r="C24" i="4"/>
  <c r="G24" i="4" s="1"/>
  <c r="B18" i="4"/>
  <c r="D24" i="4" s="1"/>
  <c r="F24" i="4" l="1"/>
</calcChain>
</file>

<file path=xl/sharedStrings.xml><?xml version="1.0" encoding="utf-8"?>
<sst xmlns="http://schemas.openxmlformats.org/spreadsheetml/2006/main" count="431" uniqueCount="307">
  <si>
    <t>Bewertung: 1 = schwach / riskant, 5 = stark / passend. Gewichtung dient als Orientierung, nicht als finale Entscheidung.</t>
  </si>
  <si>
    <t>Kriterium</t>
  </si>
  <si>
    <t>Gewicht</t>
  </si>
  <si>
    <t>Eigenbau</t>
  </si>
  <si>
    <t>Markttool</t>
  </si>
  <si>
    <t>Kommentar</t>
  </si>
  <si>
    <t>Fit zum CSM/Data/Produktion-Prozess</t>
  </si>
  <si>
    <t>Eigenbau kann exakt auf Input, Exporte, Freigaben und QR-Prozess zugeschnitten werden. Markttools erfordern voraussichtlich Anpassungen/Workarounds.</t>
  </si>
  <si>
    <t>Initialaufwand / Time-to-Value</t>
  </si>
  <si>
    <t>Markttools können schneller getestet werden. Eigenbau braucht Entwicklung, Testbetrieb und Abnahme.</t>
  </si>
  <si>
    <t>Laufende Kosten planbar</t>
  </si>
  <si>
    <t>Eigenbau ist bei Managed Hosting grob planbar. Markttools sind bei diesem Volumen häufig Enterprise/Custom Pricing.</t>
  </si>
  <si>
    <t>Betriebsrisiko beherrschbar</t>
  </si>
  <si>
    <t>Markttools übernehmen Betrieb und Skalierung. Eigenbau braucht Hosting, Monitoring, Backups und klare Verantwortlichkeiten.</t>
  </si>
  <si>
    <t>Datenschutz/Kontrolle</t>
  </si>
  <si>
    <t>Beim Eigenbau sind EU-Hosting, Datenminimierung und Speicherfristen direkter steuerbar. Bei Markttools müssen AVV/DPA und Serverstandorte geprüft werden.</t>
  </si>
  <si>
    <t>Anbieter-/Plattformabhängigkeit</t>
  </si>
  <si>
    <t>Eigenbau reduziert die Abhängigkeit von Preismodell, Support und Produktentscheidungen eines Drittanbieters. Markttools können dafür Betrieb entlasten.</t>
  </si>
  <si>
    <t>Langfristige Wartbarkeit/Übergabe</t>
  </si>
  <si>
    <t>CMC-Eigentum ist kein Muss, bleibt aber strategischer Vorteil. Wichtig ist in beiden Fällen eine saubere Dokumentation und Übergabe.</t>
  </si>
  <si>
    <t>Gewichtete Summe</t>
  </si>
  <si>
    <t>Höchster Wert = aktuell stärkste Tendenz</t>
  </si>
  <si>
    <t>Interpretation</t>
  </si>
  <si>
    <t>QR-Code-/Tracking-Link-Tool: Eigenbau vs. externe Lösung</t>
  </si>
  <si>
    <t>Stand</t>
  </si>
  <si>
    <t>Ziel</t>
  </si>
  <si>
    <t>Malin langfristig ablösen und eine zuverlässige, kontrollierbare Lösung für Tracking-Links und QR-Codes schaffen.</t>
  </si>
  <si>
    <t>Aktuelles Malin</t>
  </si>
  <si>
    <t>ca. 8 €/Monat, fachlich passend, aber schwierige Zusammenarbeit und Anbieterabhängigkeit.</t>
  </si>
  <si>
    <t>Grundannahmen</t>
  </si>
  <si>
    <t>Annahme</t>
  </si>
  <si>
    <t>Wert</t>
  </si>
  <si>
    <t>Kampagnen pro Monat</t>
  </si>
  <si>
    <t>Links je Kampagne niedrig</t>
  </si>
  <si>
    <t>Links je Kampagne hoch</t>
  </si>
  <si>
    <t>Links pro Monat niedrig</t>
  </si>
  <si>
    <t>Links pro Monat mittel</t>
  </si>
  <si>
    <t>Links pro Monat hoch</t>
  </si>
  <si>
    <t>Scan-/Klickvolumen</t>
  </si>
  <si>
    <t>Noch offen; für Anbieterangebote separat anfragen</t>
  </si>
  <si>
    <t>Kurzfazit</t>
  </si>
  <si>
    <t>Einordnung</t>
  </si>
  <si>
    <t>Der Eigenbau hätte Einmalkosten für Entwicklung, wäre aber stärker kontrollierbar und langfristig gut übergabefähig. Externe Tools müssen bei 200.000-2.000.000 neuen Links/Monat sehr genau geprüft werden. Short.io wirkt nach öffentlicher Recherche am nächsten an den Anforderungen, aber der Preis ist nur als Mindestwert ab ca. 148 €/Monat zu verstehen und muss für unser Volumen schriftlich bestätigt werden.</t>
  </si>
  <si>
    <t>Chancen</t>
  </si>
  <si>
    <t>Ein Markttool kann ein schneller, unkomplizierter Testpfad mit wenig Anfangs-Commitment sein. Ein Eigenbau ist voraussichtlich der beste Prozess-Fit und kann später gezielt um weitere Funktionen erweitert werden.</t>
  </si>
  <si>
    <t>Empfehlung</t>
  </si>
  <si>
    <t>Nächster Schritt</t>
  </si>
  <si>
    <t>Short.io konkret anfragen, Dub kritisch gegen den Use Case prüfen und ein Enterprise-Benchmark-Angebot von Bitly/Rebrandly einholen. Parallel Eigenbau als Referenzoption konkretisieren und Datenschutz/Betrieb klären.</t>
  </si>
  <si>
    <t>Vorteile &amp; Chancen: Eigenbau vs. Markttool</t>
  </si>
  <si>
    <t>Beide Optionen haben echte Vorteile. Ein Markttool eignet sich besonders gut, um schnell und mit geringem Anfangs-Commitment zu testen. Ein Eigenbau ist die stärkere Zielarchitektur, wenn der Prozess exakt passen, langfristig kontrollierbar und später erweiterbar sein soll.</t>
  </si>
  <si>
    <t>Option</t>
  </si>
  <si>
    <t>Vorteile / Opportunities</t>
  </si>
  <si>
    <t>Warum relevant</t>
  </si>
  <si>
    <t>Mögliche Erweiterungen</t>
  </si>
  <si>
    <t>Schneller Start; wenig technischer Initialaufwand; unkomplizierter Test ohne festes langfristiges Commitment; Betrieb, Skalierung und Grund-Monitoring liegen beim Anbieter.</t>
  </si>
  <si>
    <t>Gut geeignet, um kurzfristig zu validieren, ob ein externer Anbieter den Link-/QR-Prozess zuverlässig abbildet und welche echten Kosten bei unserem Volumen entstehen.</t>
  </si>
  <si>
    <t>Kurzfristige Pilotkampagne, Vergleich von Reporting/Exporten, SLA- und Datenschutzprüfung, Preisbenchmark für Eigenbau-Entscheidung.</t>
  </si>
  <si>
    <t>Sehr hoher Prozess-Fit; Eingaben, Validierung, Exporte und Reporting können exakt auf CSM/Data/Produktion zugeschnitten werden; weniger Produkt- und Preisabhängigkeit von Drittanbietern.</t>
  </si>
  <si>
    <t>Der Eigenbau wäre voraussichtlich der beste Fit, wenn der heutige Malin-Prozess sauber ersetzt und perspektivisch verbessert werden soll.</t>
  </si>
  <si>
    <t>Rollen/Rechte, Freigabe-Workflow, Kampagnen-Dashboard, automatische Plausibilitätschecks, QR-Export als ZIP, Data-Export, Historie/Audit-Log, Warnungen bei fehlerhaften Ziel-URLs.</t>
  </si>
  <si>
    <t>Professionelle Einordnung</t>
  </si>
  <si>
    <t>Frage</t>
  </si>
  <si>
    <t>Einschätzung</t>
  </si>
  <si>
    <t>Ist ein Markttool trotzdem sinnvoll?</t>
  </si>
  <si>
    <t>Ja, als schneller Test- und Vergleichspfad. Es reduziert den Startaufwand und schafft Preistransparenz, wenn Anbieter verbindliche Angebote für 200.000-2.000.000 neue Links/Monat abgeben.</t>
  </si>
  <si>
    <t>Ist Eigenbau der bessere Zielzustand?</t>
  </si>
  <si>
    <t>Wahrscheinlich ja, wenn Prozess-Fit, spätere Erweiterbarkeit, Datenkontrolle und langfristige Steuerbarkeit höher gewichtet werden als der schnellste Start.</t>
  </si>
  <si>
    <t>Kann das Tool später erweitert werden?</t>
  </si>
  <si>
    <t>Ja. Wenn die Basis sauber gebaut wird, kann das Tool modular wachsen: erst Upload, Linkgenerierung, QR-Ausgabe und Exporte; später Reporting, Rechte/Rollen, Freigaben, Monitoring und weitere Kampagnenfunktionen.</t>
  </si>
  <si>
    <t>Gesamtkosten: Eigenbau vs. Markttool</t>
  </si>
  <si>
    <t>Annahmen Eigenbau</t>
  </si>
  <si>
    <t>Parameter</t>
  </si>
  <si>
    <t>Niedrig</t>
  </si>
  <si>
    <t>Hoch</t>
  </si>
  <si>
    <t>Entwicklungsstunden Maria</t>
  </si>
  <si>
    <t>inkl. Abstimmung, Entwicklung, Tests und Dokumentation</t>
  </si>
  <si>
    <t>Stundensatz Maria</t>
  </si>
  <si>
    <t>€ pro Stunde</t>
  </si>
  <si>
    <t>Einmalige Entwicklungskosten</t>
  </si>
  <si>
    <t>Arbeitszeit; interne KI-/Toolkosten nicht eingerechnet</t>
  </si>
  <si>
    <t>Laufende Kosten Eigenbau</t>
  </si>
  <si>
    <t>Kostenblock</t>
  </si>
  <si>
    <t>Niedrig/Monat</t>
  </si>
  <si>
    <t>Hoch/Monat</t>
  </si>
  <si>
    <t>Managed Server inkl. Web-App/Datenbank</t>
  </si>
  <si>
    <t>ca. €/Monat; Annahme ohne zusätzlichen Admin</t>
  </si>
  <si>
    <t>Backups/Storage</t>
  </si>
  <si>
    <t>ca. €/Monat; abhängig vom Hostingpaket</t>
  </si>
  <si>
    <t>Monitoring/Uptime Checks</t>
  </si>
  <si>
    <t>ca. €/Monat; Basis bis externer Dienst</t>
  </si>
  <si>
    <t>Domain/DNS</t>
  </si>
  <si>
    <t>€/Monat; falls vorhandene CMC-Domain genutzt wird, ggf. 0</t>
  </si>
  <si>
    <t>Optional externer Betrieb</t>
  </si>
  <si>
    <t>€/Monat; z. B. Rent your Admin, nur falls gewünscht</t>
  </si>
  <si>
    <t>Summe Eigenbau Betrieb ohne externen Admin</t>
  </si>
  <si>
    <t>Managed Server + Backups + Monitoring + Domain</t>
  </si>
  <si>
    <t>Summe Eigenbau Betrieb mit externem Admin</t>
  </si>
  <si>
    <t>nur falls Betrieb ausgelagert wird</t>
  </si>
  <si>
    <t>Vergleich über 12 Monate</t>
  </si>
  <si>
    <t>Variante</t>
  </si>
  <si>
    <t>Einmalig niedrig</t>
  </si>
  <si>
    <t>Einmalig hoch</t>
  </si>
  <si>
    <t>Monatlich niedrig</t>
  </si>
  <si>
    <t>Monatlich hoch</t>
  </si>
  <si>
    <t>12 Monate niedrig</t>
  </si>
  <si>
    <t>12 Monate hoch</t>
  </si>
  <si>
    <t>Hinweis</t>
  </si>
  <si>
    <t>Eigenbau ohne externen Admin</t>
  </si>
  <si>
    <t>Betrieb intern/managed</t>
  </si>
  <si>
    <t>Eigenbau mit externem Admin</t>
  </si>
  <si>
    <t>inkl. optionaler Betriebsunterstützung</t>
  </si>
  <si>
    <t>Markttool: günstigster öffentlicher Mindestwert</t>
  </si>
  <si>
    <t>offen</t>
  </si>
  <si>
    <t>Short.io Enterprise ab ca. 148 €/Monat als interne Vergleichsgröße; tatsächlicher Preis für unser Volumen offen</t>
  </si>
  <si>
    <t>Markttool: Enterprise-Angebot</t>
  </si>
  <si>
    <t>Custom</t>
  </si>
  <si>
    <t>Dub, Bitly, Rebrandly und BL.INK müssen individuell angefragt werden</t>
  </si>
  <si>
    <t>Anforderungsmatrix</t>
  </si>
  <si>
    <t>Anforderung</t>
  </si>
  <si>
    <t>Gewichtung</t>
  </si>
  <si>
    <t>Short.io</t>
  </si>
  <si>
    <t>Dub</t>
  </si>
  <si>
    <t>Bitly</t>
  </si>
  <si>
    <t>Rebrandly</t>
  </si>
  <si>
    <t>BL.INK</t>
  </si>
  <si>
    <t>T2M</t>
  </si>
  <si>
    <t>Linkly</t>
  </si>
  <si>
    <t>200k-2M neue Links/Monat</t>
  </si>
  <si>
    <t>Muss</t>
  </si>
  <si>
    <t>Ja, gezielt baubar</t>
  </si>
  <si>
    <t>Wahrscheinlich, aber Preis/Volumen bestätigen</t>
  </si>
  <si>
    <t>Nur Enterprise; Standard Advanced 50k/Monat</t>
  </si>
  <si>
    <t>Nur Enterprise</t>
  </si>
  <si>
    <t>Nur High Volume/Enterprise</t>
  </si>
  <si>
    <t>Nur Custom</t>
  </si>
  <si>
    <t>Nur Enterprise/teuer</t>
  </si>
  <si>
    <t>größter Kostentreiber</t>
  </si>
  <si>
    <t>Custom Tracking-Domain</t>
  </si>
  <si>
    <t>Ja</t>
  </si>
  <si>
    <t>bei allen grundsätzlich möglich</t>
  </si>
  <si>
    <t>Bulk/API Link-Erstellung</t>
  </si>
  <si>
    <t>Enterprise/High Volume</t>
  </si>
  <si>
    <t>Ja/High Volume</t>
  </si>
  <si>
    <t>Premium/Custom</t>
  </si>
  <si>
    <t>Pro/Business</t>
  </si>
  <si>
    <t>genaue API-Limits anfragen</t>
  </si>
  <si>
    <t>Redirects stabil ohne Ads/Delay</t>
  </si>
  <si>
    <t>Ja, selbst kontrolliert</t>
  </si>
  <si>
    <t>SLA/Verfügbarkeit prüfen</t>
  </si>
  <si>
    <t>Klicktracking/Reporting</t>
  </si>
  <si>
    <t>Ja, aber Eventlimits</t>
  </si>
  <si>
    <t>Reporting-Detailtiefe vergleichen</t>
  </si>
  <si>
    <t>Datenexport</t>
  </si>
  <si>
    <t>Ja, Support/S3 je Plan</t>
  </si>
  <si>
    <t>Ja/Webhooks/API</t>
  </si>
  <si>
    <t>Enterprise/Export</t>
  </si>
  <si>
    <t>Enterprise/Sync</t>
  </si>
  <si>
    <t>Exportrechte vertraglich absichern</t>
  </si>
  <si>
    <t>AVV/DPA verfügbar/zu prüfen</t>
  </si>
  <si>
    <t>Ja, CMC kontrolliert</t>
  </si>
  <si>
    <t>Ja laut Pricing/GDPR-Hinweis; Details prüfen</t>
  </si>
  <si>
    <t>Anfragen</t>
  </si>
  <si>
    <t>Trust/DPA prüfen</t>
  </si>
  <si>
    <t>Trust Center prüfen</t>
  </si>
  <si>
    <t>GDPR genannt</t>
  </si>
  <si>
    <t>GDPR/Regionen genannt</t>
  </si>
  <si>
    <t>Enterprise DPA</t>
  </si>
  <si>
    <t>DPA = Data Processing Agreement; deutsch: AVV, also Auftragsverarbeitungsvertrag</t>
  </si>
  <si>
    <t>QR-Code-Bilder</t>
  </si>
  <si>
    <t>Optional</t>
  </si>
  <si>
    <t>Ja, baubar</t>
  </si>
  <si>
    <t>Ja laut Pricing</t>
  </si>
  <si>
    <t>Ja, Custom QR codes</t>
  </si>
  <si>
    <t>optional, nicht kaufentscheidend</t>
  </si>
  <si>
    <t>Kontrolle &amp; Wartbarkeit</t>
  </si>
  <si>
    <t>Strategischer Vorteil</t>
  </si>
  <si>
    <t>hoch</t>
  </si>
  <si>
    <t>abhängig vom Anbieter</t>
  </si>
  <si>
    <t>kein Muss mehr, aber relevant für Übergabe, Abhängigkeit und langfristige Steuerbarkeit</t>
  </si>
  <si>
    <t>Prozess passend für CSM/Data/Produktion</t>
  </si>
  <si>
    <t>Ja, exakt baubar</t>
  </si>
  <si>
    <t>Teilweise, Workarounds nötig</t>
  </si>
  <si>
    <t>Fraglich; eher Partner-/Affiliate-Fokus</t>
  </si>
  <si>
    <t>Teilweise</t>
  </si>
  <si>
    <t>Eigenbau passt am besten zum Prozess</t>
  </si>
  <si>
    <t>Quellenhinweise zur Matrix</t>
  </si>
  <si>
    <t>Anbieter</t>
  </si>
  <si>
    <t>Quelle</t>
  </si>
  <si>
    <t>Wofür verwendet</t>
  </si>
  <si>
    <t>https://short.io/pricing</t>
  </si>
  <si>
    <t>Link Automation, Redirects, Tracked Clicks, QR-Code, GDPR-Hinweis, SLA, Export</t>
  </si>
  <si>
    <t>https://dub.co/pricing</t>
  </si>
  <si>
    <t>Neue Links/Monat, Enterprise, QR-Codes, API, Events, Partner-/Affiliate-Fokus</t>
  </si>
  <si>
    <t>https://bitly.com/pages/pricing</t>
  </si>
  <si>
    <t>Links/Monat, QR-Codes/Monat, Enterprise at-scale, API, SLA</t>
  </si>
  <si>
    <t>https://www.rebrandly.com/pricing</t>
  </si>
  <si>
    <t>Links/QR-Codes/Monat, High-Volume-Pläne, API/Tracking</t>
  </si>
  <si>
    <t>https://www.bl.ink/pricing</t>
  </si>
  <si>
    <t>Aktive Links, Dynamic Links, GDPR, QR/Short Links, Enterprise</t>
  </si>
  <si>
    <t>https://t2mio.com/pricing/</t>
  </si>
  <si>
    <t>Short URLs/Monat, Redirects/Monat, QR-Codes, AWS-Region/Custom Plan</t>
  </si>
  <si>
    <t>https://linklyhq.com/pricing</t>
  </si>
  <si>
    <t>Links/Monat, Add-ons, QR-Codes, Enterprise/DPA/SLA</t>
  </si>
  <si>
    <t>Anbieter-Vergleich</t>
  </si>
  <si>
    <t>Die Anbieter sind keine finale Bestenliste, sondern eine erste Shortlist und Benchmark-Auswahl: Short.io wirkt nach öffentlichen Informationen am nächsten am Use Case, Dub ist ein moderner Link-Management-Anbieter mit kritisch zu prüfendem Fit, Bitly/Rebrandly sind etablierte Enterprise-Benchmarks. BL.INK, T2M und Linkly dienen als zusätzliche Vergleichspunkte. QR Code Generator Pro ist bewusst als eher unpassende QR-Speziallösung aufgeführt.</t>
  </si>
  <si>
    <t>Rolle in der Prüfung</t>
  </si>
  <si>
    <t>Öffentlicher Plan / Preis</t>
  </si>
  <si>
    <t>Relevante Limits</t>
  </si>
  <si>
    <t>Eignung für CMC</t>
  </si>
  <si>
    <t>Bewertung / nächster Schritt</t>
  </si>
  <si>
    <t>Priorität hoch</t>
  </si>
  <si>
    <t>Enterprise ab ca. 148 €/Monat; Team ca. 48 €/Monat mit 100.000 Link-Automation/Jahr</t>
  </si>
  <si>
    <t>Enterprise: Link Automation unlimited laut Pricing; Team reicht nicht für unser Monatsvolumen</t>
  </si>
  <si>
    <t>Am nächsten dran: Bulk/API, QR, Tracking, Custom Domains, GDPR-Hinweis, SLA ab Team.</t>
  </si>
  <si>
    <t>Als erstes anfragen: 2 Mio neue Links/Monat, AVV/DPA, SLA, Export, Kündigungsfall. Der öffentliche Preis ist nur Mindestwert und nach oben offen.</t>
  </si>
  <si>
    <t>Priorität mittel / kritisch prüfen</t>
  </si>
  <si>
    <t>Advanced ca. 250 €/Monat; Enterprise Custom</t>
  </si>
  <si>
    <t>Business 10k neue Links/Monat, Advanced 50k, Enterprise unlimited</t>
  </si>
  <si>
    <t>Technisch Links/QR/API/Analytics, aber öffentlicher Auftritt wirkt stark auf Partner-/Affiliate-Programme ausgelegt.</t>
  </si>
  <si>
    <t>Nicht als passend voraussetzen. Use Case schildern und bestätigen lassen, ob reine Gutschein-/Mailing-Massenlinks ohne Partnerprogramm sinnvoll unterstützt werden.</t>
  </si>
  <si>
    <t>Enterprise-Benchmark</t>
  </si>
  <si>
    <t>Premium ca. 300 €/Monat; Enterprise Custom</t>
  </si>
  <si>
    <t>Premium 3.000 Links/Monat, 200 QR Codes/Monat; Enterprise at-scale</t>
  </si>
  <si>
    <t>Sehr etablierter Anbieter, aber Standardpläne viel zu klein.</t>
  </si>
  <si>
    <t>Enterprise-Angebot als Preisanker anfragen.</t>
  </si>
  <si>
    <t>Professional ca. 39 €/Monat; High Volume/Enterprise</t>
  </si>
  <si>
    <t>Professional 1.500 Links/Monat; High Volume für größere Mengen</t>
  </si>
  <si>
    <t>Funktional grundsätzlich passend, aber unser Volumen ist High-Volume/Enterprise.</t>
  </si>
  <si>
    <t>High-Volume-Angebot für 200k/1,1M/2M neue Links/Monat anfragen.</t>
  </si>
  <si>
    <t>Zusätzlicher Enterprise-Vergleich</t>
  </si>
  <si>
    <t>Business ca. 599 €/Monat; Enterprise Custom</t>
  </si>
  <si>
    <t>Business 250.000+ aktive Links, aber Dynamic Links 1.000; Enterprise Custom</t>
  </si>
  <si>
    <t>Enterprise-orientiert, Compliance stark, aber Standardplan unklar/unpassend für Dynamic/Massenlinks.</t>
  </si>
  <si>
    <t>Nur anfragen, wenn ein weiterer Enterprise-Vergleich gewünscht ist.</t>
  </si>
  <si>
    <t>Zusätzlicher Vergleich</t>
  </si>
  <si>
    <t>Premium ca. 90 €/Monat; Custom Plan</t>
  </si>
  <si>
    <t>Premium 50.000 Short URLs/Monat und 250.000 Redirects/Monat</t>
  </si>
  <si>
    <t>Funktional viel dabei, aber Standardlimit reicht nicht.</t>
  </si>
  <si>
    <t>Custom-Angebot nur anfragen, falls Short.io/Dub nicht passen.</t>
  </si>
  <si>
    <t>Nicht priorisiert</t>
  </si>
  <si>
    <t>Business ca. 107 €/Monat; Add-ons</t>
  </si>
  <si>
    <t>5.000 Links/Monat, +1.000 Links für ca. 20,50 €</t>
  </si>
  <si>
    <t>Funktional gut für kleinere Kampagnen, aber bei unserem Volumen rechnerisch teuer.</t>
  </si>
  <si>
    <t>Nur als Vergleich behalten.</t>
  </si>
  <si>
    <t>QR Code Generator Pro</t>
  </si>
  <si>
    <t>Professional/Enterprise</t>
  </si>
  <si>
    <t>Professional eher auf wenige dynamische QR-Codes ausgelegt</t>
  </si>
  <si>
    <t>Zu QR-Code-fokussiert; unser Kernproblem sind Massen-Tracking-Links.</t>
  </si>
  <si>
    <t>Nicht weiter priorisieren.</t>
  </si>
  <si>
    <t>Direkte Quellen</t>
  </si>
  <si>
    <t>https://www.qr-code-generator.com/pricing/</t>
  </si>
  <si>
    <t>Risiken, Datenschutz und nächste Schritte</t>
  </si>
  <si>
    <t>Risiken</t>
  </si>
  <si>
    <t>Risiko/Frage</t>
  </si>
  <si>
    <t>Mögliche Auswirkung</t>
  </si>
  <si>
    <t>Mitigation / Entscheidung</t>
  </si>
  <si>
    <t>Hosting und Infrastruktur</t>
  </si>
  <si>
    <t>Links aus Mailings werfen Fehler oder sind nicht erreichbar.</t>
  </si>
  <si>
    <t>Managed Server mit Monitoring/Backups; optional Betrieb an Rent your Admin geben.</t>
  </si>
  <si>
    <t>Datenschutz</t>
  </si>
  <si>
    <t>Trackingdaten dürfen ggf. nicht in geplanter Form gespeichert werden.</t>
  </si>
  <si>
    <t>Vor Produktivstart klären: Datenarten, Speicherfristen, IP/User-Agent, AVV/DPA.</t>
  </si>
  <si>
    <t>Server im Ausland</t>
  </si>
  <si>
    <t>Für Links technisch meist kein Problem, aber datenschutzrechtlich relevant, wenn personenbezogene Trackingdaten verarbeitet werden.</t>
  </si>
  <si>
    <t>EU-Hosting bevorzugen oder AVV/DPA, SCC/TIA und Datenminimierung klären. Reine Redirect-Ziel-URL ist weniger kritisch als Klicktracking mit IP/User-Agent.</t>
  </si>
  <si>
    <t>Linkgenerierung fällt aus</t>
  </si>
  <si>
    <t>Mailings können nicht rechtzeitig rausgehen.</t>
  </si>
  <si>
    <t>Fallback-Prozess, Tests, Staging, Export-Wiederholung, klare Verantwortlichkeit.</t>
  </si>
  <si>
    <t>Reporting unvollständig</t>
  </si>
  <si>
    <t>Kampagnenauswertung ist nicht belastbar.</t>
  </si>
  <si>
    <t>Tracking asynchron, Plausibilitätschecks, Exportprüfung.</t>
  </si>
  <si>
    <t>Falsche Ziel-URLs</t>
  </si>
  <si>
    <t>QR-Codes leiten falsch weiter.</t>
  </si>
  <si>
    <t>Validierung, Preview, Scan-Test vor Produktionsfreigabe.</t>
  </si>
  <si>
    <t>Anbieterabhängigkeit extern</t>
  </si>
  <si>
    <t>Kosten/Verfügbarkeit/Support liegen außerhalb CMC-Kontrolle.</t>
  </si>
  <si>
    <t>SLA/AVV/DPA/Exportrechte/Kündigungsfall vertraglich prüfen; Eigenbau als Alternative.</t>
  </si>
  <si>
    <t>Nächste Schritte auf Management-Ebene</t>
  </si>
  <si>
    <t>Was fehlt für die Entscheidung?</t>
  </si>
  <si>
    <t>Priorität</t>
  </si>
  <si>
    <t>Sollen die Preise externer Anbieter genauer werden?</t>
  </si>
  <si>
    <t>Short.io, Dub und Bitly/Rebrandly mit identischem Volumenprofil anfragen.</t>
  </si>
  <si>
    <t>Welche Anbieter kommen auf die Shortlist?</t>
  </si>
  <si>
    <t>Vorschlag: Short.io priorisieren, Dub kritisch prüfen, Bitly/Rebrandly als Benchmark nutzen.</t>
  </si>
  <si>
    <t>Eigenbau vs. Markttool?</t>
  </si>
  <si>
    <t>Entscheiden, ob Prozess-Fit, Kontrolle und Wartbarkeit wichtiger sind als schneller Start und ausgelagerter Betrieb.</t>
  </si>
  <si>
    <t>Welcher technische Ansatz beim Eigenbau?</t>
  </si>
  <si>
    <t>Web-App mit Datenbank, CSV-Upload, Tracking-Link-Erstellung, QR-Ausgabe, Reporting und Exporten konkretisieren.</t>
  </si>
  <si>
    <t>Datenschutzfreigabe?</t>
  </si>
  <si>
    <t>AVV/DPA, Serverstandort, Trackingdaten, Speicherfristen und Datenminimierung klären.</t>
  </si>
  <si>
    <t>Welche Praxisdaten fehlen?</t>
  </si>
  <si>
    <t>Beispielkampagnen, echte Exporte, gewünschtes Reporting, geschätzte Klick-/Scanmengen.</t>
  </si>
  <si>
    <t>mittel</t>
  </si>
  <si>
    <t>Quellen / Pricing-Seiten</t>
  </si>
  <si>
    <t>Thema</t>
  </si>
  <si>
    <t>Notiz</t>
  </si>
  <si>
    <t>Enterprise ab ca. 148 €/Monat; Link Automation unlimited; QR-Code, API, Export, GDPR-Hinweis</t>
  </si>
  <si>
    <t>Business 10k, Advanced 50k neue Links/Monat, Enterprise unlimited; QR/API/Analytics vorhanden</t>
  </si>
  <si>
    <t>Premium 3.000 Links/Monat, Enterprise Custom mit at-scale Link/QR und API</t>
  </si>
  <si>
    <t>Standardpläne klein; High Volume/Enterprise für große Mengen</t>
  </si>
  <si>
    <t>Business/Enterprise, QR/Short Links, GDPR, Dynamic Links Limits</t>
  </si>
  <si>
    <t>Business 5.000 Links/Monat, Add-on 1.000 Links</t>
  </si>
  <si>
    <t>Premium 50.000 Short URLs/Monat; Custom Plan für größere Limits; AWS-Regionen erwähnt</t>
  </si>
  <si>
    <t>QR Code Generator</t>
  </si>
  <si>
    <t>QR-Code-Plattform, weniger passend für Millionen individuelle Tracking-Links</t>
  </si>
  <si>
    <t>Entscheidungsmatrix</t>
  </si>
  <si>
    <t>Beide Wege bleiben möglich. Eigenbau punktet bei Prozess-Fit, Kontrolle und langfristiger Unabhängigkeit. Ein Markttool punktet bei schnellerem Start und ausgelagertem Betrieb. Für eine belastbare Entscheidung fehlen vor allem verbindliche Anbieterpreise und ein klares Zielbild für Betrieb und Wartung.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</si>
</sst>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\€"/>
  </numFmts>
  <fonts count="10">
    <font>
      <sz val="11"/>
      <name val="Carlito"/>
    </font>
    <font>
      <b/>
      <sz val="10"/>
      <color rgb="FF1F2937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0"/>
      <color rgb="FF374151"/>
      <name val="Arial"/>
    </font>
    <font>
      <sz val="11"/>
      <name val="Carlito"/>
    </font>
    <font>
      <b/>
      <sz val="10"/>
      <color rgb="FF1F2937"/>
      <name val="Arial"/>
      <family val="2"/>
    </font>
    <font>
      <u/>
      <sz val="11"/>
      <color theme="10"/>
      <name val="Carlito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medium">
        <color rgb="FF1F4E78"/>
      </top>
      <bottom style="thin">
        <color rgb="FFD9E2F3"/>
      </bottom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1" applyFont="1" applyAlignment="1">
      <alignment wrapText="1"/>
    </xf>
    <xf numFmtId="0" fontId="3" fillId="2" borderId="1" xfId="1" applyFont="1" applyFill="1" applyBorder="1" applyAlignment="1">
      <alignment horizontal="center" vertical="top" wrapText="1"/>
    </xf>
    <xf numFmtId="0" fontId="2" fillId="0" borderId="1" xfId="1" applyFont="1" applyBorder="1" applyAlignment="1">
      <alignment vertical="top" wrapText="1"/>
    </xf>
    <xf numFmtId="0" fontId="1" fillId="0" borderId="0" xfId="1" applyFont="1" applyAlignment="1">
      <alignment wrapText="1"/>
    </xf>
    <xf numFmtId="0" fontId="5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2" fillId="0" borderId="0" xfId="1" applyFont="1" applyAlignment="1">
      <alignment horizontal="left" vertical="center" wrapText="1"/>
    </xf>
    <xf numFmtId="0" fontId="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0" fillId="0" borderId="0" xfId="0" applyAlignme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0" fontId="4" fillId="0" borderId="2" xfId="1" applyFont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9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14" fontId="2" fillId="0" borderId="0" xfId="1" applyNumberFormat="1" applyFont="1" applyAlignment="1">
      <alignment vertical="center" wrapText="1"/>
    </xf>
    <xf numFmtId="0" fontId="1" fillId="0" borderId="0" xfId="1" applyFont="1" applyAlignment="1">
      <alignment vertical="center"/>
    </xf>
    <xf numFmtId="0" fontId="9" fillId="0" borderId="1" xfId="1" applyFont="1" applyBorder="1" applyAlignment="1">
      <alignment vertical="center" wrapText="1"/>
    </xf>
    <xf numFmtId="3" fontId="2" fillId="0" borderId="1" xfId="1" applyNumberFormat="1" applyFont="1" applyBorder="1" applyAlignment="1">
      <alignment vertical="center" wrapText="1"/>
    </xf>
    <xf numFmtId="164" fontId="2" fillId="0" borderId="1" xfId="1" applyNumberFormat="1" applyFont="1" applyBorder="1" applyAlignment="1">
      <alignment vertical="center" wrapText="1"/>
    </xf>
    <xf numFmtId="164" fontId="4" fillId="0" borderId="2" xfId="1" applyNumberFormat="1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164" fontId="4" fillId="0" borderId="1" xfId="1" applyNumberFormat="1" applyFont="1" applyBorder="1" applyAlignment="1">
      <alignment vertical="center" wrapText="1"/>
    </xf>
    <xf numFmtId="164" fontId="2" fillId="0" borderId="1" xfId="1" applyNumberFormat="1" applyFont="1" applyBorder="1" applyAlignment="1">
      <alignment horizontal="right" vertical="center" wrapText="1"/>
    </xf>
    <xf numFmtId="0" fontId="8" fillId="0" borderId="1" xfId="2" applyBorder="1" applyAlignment="1">
      <alignment vertical="top" wrapText="1"/>
    </xf>
  </cellXfs>
  <cellStyles count="3">
    <cellStyle name="Link" xfId="2" builtinId="8"/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lyhq.com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opLeftCell="A8" workbookViewId="0">
      <selection activeCell="C17" sqref="C17"/>
    </sheetView>
  </sheetViews>
  <sheetFormatPr baseColWidth="10" defaultColWidth="8.83203125" defaultRowHeight="14"/>
  <cols>
    <col min="1" max="1" width="33.33203125" style="10" customWidth="1"/>
    <col min="2" max="2" width="10" style="10" customWidth="1"/>
    <col min="3" max="4" width="15.5" style="10" customWidth="1"/>
    <col min="5" max="5" width="71.1640625" style="10" customWidth="1"/>
    <col min="6" max="16384" width="8.83203125" style="10"/>
  </cols>
  <sheetData>
    <row r="1" spans="1:5">
      <c r="A1" s="8" t="s">
        <v>305</v>
      </c>
      <c r="B1" s="9"/>
      <c r="C1" s="9"/>
      <c r="D1" s="9"/>
      <c r="E1" s="9"/>
    </row>
    <row r="2" spans="1:5">
      <c r="A2" s="9"/>
      <c r="B2" s="9"/>
      <c r="C2" s="9"/>
      <c r="D2" s="9"/>
      <c r="E2" s="9"/>
    </row>
    <row r="3" spans="1:5">
      <c r="A3" s="7" t="s">
        <v>0</v>
      </c>
      <c r="B3" s="7"/>
      <c r="C3" s="7"/>
      <c r="D3" s="7"/>
      <c r="E3" s="9"/>
    </row>
    <row r="4" spans="1:5">
      <c r="A4" s="9"/>
      <c r="B4" s="9"/>
      <c r="C4" s="9"/>
      <c r="D4" s="9"/>
      <c r="E4" s="9"/>
    </row>
    <row r="5" spans="1:5">
      <c r="A5" s="11" t="s">
        <v>1</v>
      </c>
      <c r="B5" s="11" t="s">
        <v>2</v>
      </c>
      <c r="C5" s="11" t="s">
        <v>3</v>
      </c>
      <c r="D5" s="11" t="s">
        <v>4</v>
      </c>
      <c r="E5" s="11" t="s">
        <v>5</v>
      </c>
    </row>
    <row r="6" spans="1:5" ht="28">
      <c r="A6" s="12" t="s">
        <v>6</v>
      </c>
      <c r="B6" s="12">
        <v>25</v>
      </c>
      <c r="C6" s="12">
        <v>5</v>
      </c>
      <c r="D6" s="12">
        <v>3</v>
      </c>
      <c r="E6" s="12" t="s">
        <v>7</v>
      </c>
    </row>
    <row r="7" spans="1:5" ht="28">
      <c r="A7" s="12" t="s">
        <v>8</v>
      </c>
      <c r="B7" s="12">
        <v>15</v>
      </c>
      <c r="C7" s="12">
        <v>2</v>
      </c>
      <c r="D7" s="12">
        <v>5</v>
      </c>
      <c r="E7" s="12" t="s">
        <v>9</v>
      </c>
    </row>
    <row r="8" spans="1:5" ht="28">
      <c r="A8" s="12" t="s">
        <v>10</v>
      </c>
      <c r="B8" s="12">
        <v>15</v>
      </c>
      <c r="C8" s="12">
        <v>4</v>
      </c>
      <c r="D8" s="12">
        <v>3</v>
      </c>
      <c r="E8" s="12" t="s">
        <v>11</v>
      </c>
    </row>
    <row r="9" spans="1:5" ht="28">
      <c r="A9" s="12" t="s">
        <v>12</v>
      </c>
      <c r="B9" s="12">
        <v>15</v>
      </c>
      <c r="C9" s="12">
        <v>3</v>
      </c>
      <c r="D9" s="12">
        <v>4</v>
      </c>
      <c r="E9" s="12" t="s">
        <v>13</v>
      </c>
    </row>
    <row r="10" spans="1:5" ht="28">
      <c r="A10" s="12" t="s">
        <v>14</v>
      </c>
      <c r="B10" s="12">
        <v>10</v>
      </c>
      <c r="C10" s="12">
        <v>4</v>
      </c>
      <c r="D10" s="12">
        <v>3</v>
      </c>
      <c r="E10" s="12" t="s">
        <v>15</v>
      </c>
    </row>
    <row r="11" spans="1:5" ht="28">
      <c r="A11" s="12" t="s">
        <v>16</v>
      </c>
      <c r="B11" s="12">
        <v>10</v>
      </c>
      <c r="C11" s="12">
        <v>4</v>
      </c>
      <c r="D11" s="12">
        <v>2</v>
      </c>
      <c r="E11" s="12" t="s">
        <v>17</v>
      </c>
    </row>
    <row r="12" spans="1:5" ht="28">
      <c r="A12" s="12" t="s">
        <v>18</v>
      </c>
      <c r="B12" s="12">
        <v>10</v>
      </c>
      <c r="C12" s="12">
        <v>4</v>
      </c>
      <c r="D12" s="12">
        <v>3</v>
      </c>
      <c r="E12" s="12" t="s">
        <v>19</v>
      </c>
    </row>
    <row r="13" spans="1:5">
      <c r="A13" s="13" t="s">
        <v>20</v>
      </c>
      <c r="B13" s="13">
        <f>SUM(B6:B12)</f>
        <v>100</v>
      </c>
      <c r="C13" s="13">
        <f>SUMPRODUCT($B$6:$B$12,C6:C12)</f>
        <v>380</v>
      </c>
      <c r="D13" s="13">
        <f>SUMPRODUCT($B$6:$B$12,D6:D12)</f>
        <v>335</v>
      </c>
      <c r="E13" s="13" t="s">
        <v>21</v>
      </c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14" t="s">
        <v>22</v>
      </c>
      <c r="B16" s="9"/>
      <c r="C16" s="9"/>
      <c r="D16" s="9"/>
      <c r="E16" s="9"/>
    </row>
    <row r="17" spans="1:4" ht="58" customHeight="1">
      <c r="A17" s="19" t="s">
        <v>306</v>
      </c>
      <c r="B17" s="19"/>
      <c r="C17" s="16"/>
      <c r="D17" s="16"/>
    </row>
    <row r="20" spans="1:4">
      <c r="A20" s="20" t="s">
        <v>40</v>
      </c>
      <c r="B20" s="18"/>
    </row>
    <row r="21" spans="1:4">
      <c r="A21" s="18" t="s">
        <v>41</v>
      </c>
      <c r="B21" s="18" t="s">
        <v>42</v>
      </c>
    </row>
    <row r="22" spans="1:4">
      <c r="A22" s="18" t="s">
        <v>43</v>
      </c>
      <c r="B22" s="18" t="s">
        <v>44</v>
      </c>
    </row>
    <row r="23" spans="1:4">
      <c r="A23" s="20" t="s">
        <v>45</v>
      </c>
      <c r="B23" s="18"/>
    </row>
    <row r="24" spans="1:4">
      <c r="A24" s="18" t="s">
        <v>46</v>
      </c>
      <c r="B24" s="18" t="s">
        <v>47</v>
      </c>
    </row>
  </sheetData>
  <mergeCells count="1"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B4" sqref="B4"/>
    </sheetView>
  </sheetViews>
  <sheetFormatPr baseColWidth="10" defaultColWidth="8.83203125" defaultRowHeight="14"/>
  <cols>
    <col min="1" max="1" width="28.83203125" style="10" customWidth="1"/>
    <col min="2" max="2" width="86.6640625" style="10" customWidth="1"/>
    <col min="3" max="16384" width="8.83203125" style="10"/>
  </cols>
  <sheetData>
    <row r="1" spans="1:2" ht="28">
      <c r="A1" s="17" t="s">
        <v>23</v>
      </c>
      <c r="B1" s="9"/>
    </row>
    <row r="2" spans="1:2">
      <c r="A2" s="9"/>
      <c r="B2" s="9"/>
    </row>
    <row r="3" spans="1:2">
      <c r="A3" s="9" t="s">
        <v>24</v>
      </c>
      <c r="B3" s="21">
        <v>46194</v>
      </c>
    </row>
    <row r="4" spans="1:2" ht="28">
      <c r="A4" s="9" t="s">
        <v>25</v>
      </c>
      <c r="B4" s="9" t="s">
        <v>26</v>
      </c>
    </row>
    <row r="5" spans="1:2">
      <c r="A5" s="9" t="s">
        <v>27</v>
      </c>
      <c r="B5" s="9" t="s">
        <v>28</v>
      </c>
    </row>
    <row r="6" spans="1:2">
      <c r="A6" s="9"/>
      <c r="B6" s="9"/>
    </row>
    <row r="7" spans="1:2">
      <c r="A7" s="14" t="s">
        <v>29</v>
      </c>
      <c r="B7" s="9"/>
    </row>
    <row r="8" spans="1:2">
      <c r="A8" s="11" t="s">
        <v>30</v>
      </c>
      <c r="B8" s="11" t="s">
        <v>31</v>
      </c>
    </row>
    <row r="9" spans="1:2">
      <c r="A9" s="12" t="s">
        <v>32</v>
      </c>
      <c r="B9" s="12">
        <v>20</v>
      </c>
    </row>
    <row r="10" spans="1:2">
      <c r="A10" s="12" t="s">
        <v>33</v>
      </c>
      <c r="B10" s="12">
        <v>10000</v>
      </c>
    </row>
    <row r="11" spans="1:2">
      <c r="A11" s="12" t="s">
        <v>34</v>
      </c>
      <c r="B11" s="12">
        <v>100000</v>
      </c>
    </row>
    <row r="12" spans="1:2">
      <c r="A12" s="12" t="s">
        <v>35</v>
      </c>
      <c r="B12" s="12">
        <f>B9*B10</f>
        <v>200000</v>
      </c>
    </row>
    <row r="13" spans="1:2">
      <c r="A13" s="12" t="s">
        <v>36</v>
      </c>
      <c r="B13" s="12">
        <f>B9*((B10+B11)/2)</f>
        <v>1100000</v>
      </c>
    </row>
    <row r="14" spans="1:2">
      <c r="A14" s="12" t="s">
        <v>37</v>
      </c>
      <c r="B14" s="12">
        <f>B9*B11</f>
        <v>2000000</v>
      </c>
    </row>
    <row r="15" spans="1:2">
      <c r="A15" s="12" t="s">
        <v>38</v>
      </c>
      <c r="B15" s="12" t="s">
        <v>39</v>
      </c>
    </row>
    <row r="16" spans="1:2">
      <c r="A16" s="9"/>
      <c r="B1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C15" sqref="C15"/>
    </sheetView>
  </sheetViews>
  <sheetFormatPr baseColWidth="10" defaultColWidth="8.83203125" defaultRowHeight="14"/>
  <cols>
    <col min="1" max="1" width="18.83203125" style="10" customWidth="1"/>
    <col min="2" max="2" width="47.83203125" style="10" customWidth="1"/>
    <col min="3" max="3" width="52.1640625" style="10" customWidth="1"/>
    <col min="4" max="4" width="57.83203125" style="10" customWidth="1"/>
    <col min="5" max="16384" width="8.83203125" style="10"/>
  </cols>
  <sheetData>
    <row r="1" spans="1:4">
      <c r="A1" s="22" t="s">
        <v>48</v>
      </c>
      <c r="B1" s="9"/>
      <c r="C1" s="9"/>
      <c r="D1" s="9"/>
    </row>
    <row r="2" spans="1:4">
      <c r="A2" s="9"/>
      <c r="B2" s="9"/>
      <c r="C2" s="9"/>
      <c r="D2" s="9"/>
    </row>
    <row r="3" spans="1:4">
      <c r="A3" s="14" t="s">
        <v>41</v>
      </c>
      <c r="B3" s="9"/>
      <c r="C3" s="9"/>
      <c r="D3" s="9"/>
    </row>
    <row r="4" spans="1:4">
      <c r="A4" s="15" t="s">
        <v>49</v>
      </c>
      <c r="B4" s="15"/>
      <c r="C4" s="15"/>
      <c r="D4" s="15"/>
    </row>
    <row r="5" spans="1:4">
      <c r="A5" s="9"/>
      <c r="B5" s="9"/>
      <c r="C5" s="9"/>
      <c r="D5" s="9"/>
    </row>
    <row r="6" spans="1:4">
      <c r="A6" s="9"/>
      <c r="B6" s="9"/>
      <c r="C6" s="9"/>
      <c r="D6" s="9"/>
    </row>
    <row r="7" spans="1:4">
      <c r="A7" s="11" t="s">
        <v>50</v>
      </c>
      <c r="B7" s="11" t="s">
        <v>51</v>
      </c>
      <c r="C7" s="11" t="s">
        <v>52</v>
      </c>
      <c r="D7" s="11" t="s">
        <v>53</v>
      </c>
    </row>
    <row r="8" spans="1:4" ht="56">
      <c r="A8" s="12" t="s">
        <v>4</v>
      </c>
      <c r="B8" s="12" t="s">
        <v>54</v>
      </c>
      <c r="C8" s="12" t="s">
        <v>55</v>
      </c>
      <c r="D8" s="23" t="s">
        <v>56</v>
      </c>
    </row>
    <row r="9" spans="1:4" ht="56">
      <c r="A9" s="12" t="s">
        <v>3</v>
      </c>
      <c r="B9" s="12" t="s">
        <v>57</v>
      </c>
      <c r="C9" s="12" t="s">
        <v>58</v>
      </c>
      <c r="D9" s="12" t="s">
        <v>59</v>
      </c>
    </row>
    <row r="10" spans="1:4">
      <c r="A10" s="9"/>
      <c r="B10" s="9"/>
      <c r="C10" s="9"/>
      <c r="D10" s="9"/>
    </row>
    <row r="11" spans="1:4">
      <c r="A11" s="9"/>
      <c r="B11" s="9"/>
      <c r="C11" s="9"/>
      <c r="D11" s="9"/>
    </row>
    <row r="12" spans="1:4">
      <c r="A12" s="9"/>
      <c r="B12" s="9"/>
      <c r="C12" s="9"/>
      <c r="D12" s="9"/>
    </row>
    <row r="13" spans="1:4">
      <c r="A13" s="20" t="s">
        <v>60</v>
      </c>
      <c r="B13" s="9"/>
      <c r="C13" s="9"/>
      <c r="D13" s="9"/>
    </row>
    <row r="14" spans="1:4">
      <c r="A14" s="11" t="s">
        <v>61</v>
      </c>
      <c r="B14" s="11" t="s">
        <v>62</v>
      </c>
      <c r="C14" s="9"/>
      <c r="D14" s="9"/>
    </row>
    <row r="15" spans="1:4" ht="56">
      <c r="A15" s="12" t="s">
        <v>63</v>
      </c>
      <c r="B15" s="12" t="s">
        <v>64</v>
      </c>
      <c r="C15" s="9"/>
      <c r="D15" s="9"/>
    </row>
    <row r="16" spans="1:4" ht="56">
      <c r="A16" s="12" t="s">
        <v>65</v>
      </c>
      <c r="B16" s="12" t="s">
        <v>66</v>
      </c>
      <c r="C16" s="9"/>
      <c r="D16" s="9"/>
    </row>
    <row r="17" spans="1:4" ht="56">
      <c r="A17" s="12" t="s">
        <v>67</v>
      </c>
      <c r="B17" s="12" t="s">
        <v>68</v>
      </c>
      <c r="C17" s="9"/>
      <c r="D17" s="9"/>
    </row>
  </sheetData>
  <mergeCells count="1"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>
      <selection activeCell="E31" sqref="E31"/>
    </sheetView>
  </sheetViews>
  <sheetFormatPr baseColWidth="10" defaultColWidth="8.83203125" defaultRowHeight="14"/>
  <cols>
    <col min="1" max="1" width="28.83203125" style="10" customWidth="1"/>
    <col min="2" max="3" width="16.6640625" style="10" customWidth="1"/>
    <col min="4" max="4" width="43.33203125" style="10" customWidth="1"/>
    <col min="5" max="6" width="15.5" style="10" customWidth="1"/>
    <col min="7" max="7" width="16.6640625" style="10" customWidth="1"/>
    <col min="8" max="8" width="55.5" style="10" customWidth="1"/>
    <col min="9" max="16384" width="8.83203125" style="10"/>
  </cols>
  <sheetData>
    <row r="1" spans="1:8">
      <c r="A1" s="22" t="s">
        <v>69</v>
      </c>
      <c r="B1" s="9"/>
      <c r="C1" s="9"/>
      <c r="D1" s="9"/>
      <c r="E1" s="9"/>
      <c r="F1" s="9"/>
      <c r="G1" s="9"/>
      <c r="H1" s="9"/>
    </row>
    <row r="2" spans="1:8">
      <c r="A2" s="9"/>
      <c r="B2" s="9"/>
      <c r="C2" s="9"/>
      <c r="D2" s="9"/>
      <c r="E2" s="9"/>
      <c r="F2" s="9"/>
      <c r="G2" s="9"/>
      <c r="H2" s="9"/>
    </row>
    <row r="3" spans="1:8">
      <c r="A3" s="14" t="s">
        <v>70</v>
      </c>
      <c r="B3" s="9"/>
      <c r="C3" s="9"/>
      <c r="D3" s="9"/>
      <c r="E3" s="9"/>
      <c r="F3" s="9"/>
      <c r="G3" s="9"/>
      <c r="H3" s="9"/>
    </row>
    <row r="4" spans="1:8">
      <c r="A4" s="11" t="s">
        <v>71</v>
      </c>
      <c r="B4" s="11" t="s">
        <v>72</v>
      </c>
      <c r="C4" s="11" t="s">
        <v>73</v>
      </c>
      <c r="D4" s="11" t="s">
        <v>5</v>
      </c>
      <c r="E4" s="9"/>
      <c r="F4" s="9"/>
      <c r="G4" s="9"/>
      <c r="H4" s="9"/>
    </row>
    <row r="5" spans="1:8" ht="28">
      <c r="A5" s="12" t="s">
        <v>74</v>
      </c>
      <c r="B5" s="24">
        <v>40</v>
      </c>
      <c r="C5" s="24">
        <v>60</v>
      </c>
      <c r="D5" s="12" t="s">
        <v>75</v>
      </c>
      <c r="E5" s="9"/>
      <c r="F5" s="9"/>
      <c r="G5" s="9"/>
      <c r="H5" s="9"/>
    </row>
    <row r="6" spans="1:8">
      <c r="A6" s="12" t="s">
        <v>76</v>
      </c>
      <c r="B6" s="25">
        <v>85</v>
      </c>
      <c r="C6" s="25">
        <v>85</v>
      </c>
      <c r="D6" s="12" t="s">
        <v>77</v>
      </c>
      <c r="E6" s="9"/>
      <c r="F6" s="9"/>
      <c r="G6" s="9"/>
      <c r="H6" s="9"/>
    </row>
    <row r="7" spans="1:8" ht="28">
      <c r="A7" s="13" t="s">
        <v>78</v>
      </c>
      <c r="B7" s="26">
        <f>B5*B6</f>
        <v>3400</v>
      </c>
      <c r="C7" s="26">
        <f>C5*C6</f>
        <v>5100</v>
      </c>
      <c r="D7" s="13" t="s">
        <v>79</v>
      </c>
      <c r="E7" s="9"/>
      <c r="F7" s="9"/>
      <c r="G7" s="9"/>
      <c r="H7" s="9"/>
    </row>
    <row r="8" spans="1:8">
      <c r="A8" s="9"/>
      <c r="B8" s="9"/>
      <c r="C8" s="9"/>
      <c r="D8" s="9"/>
      <c r="E8" s="9"/>
      <c r="F8" s="9"/>
      <c r="G8" s="9"/>
      <c r="H8" s="9"/>
    </row>
    <row r="9" spans="1:8">
      <c r="A9" s="9"/>
      <c r="B9" s="9"/>
      <c r="C9" s="9"/>
      <c r="D9" s="9"/>
      <c r="E9" s="9"/>
      <c r="F9" s="9"/>
      <c r="G9" s="9"/>
      <c r="H9" s="9"/>
    </row>
    <row r="10" spans="1:8">
      <c r="A10" s="14" t="s">
        <v>80</v>
      </c>
      <c r="B10" s="9"/>
      <c r="C10" s="9"/>
      <c r="D10" s="9"/>
      <c r="E10" s="9"/>
      <c r="F10" s="9"/>
      <c r="G10" s="9"/>
      <c r="H10" s="9"/>
    </row>
    <row r="11" spans="1:8">
      <c r="A11" s="11" t="s">
        <v>81</v>
      </c>
      <c r="B11" s="11" t="s">
        <v>82</v>
      </c>
      <c r="C11" s="11" t="s">
        <v>83</v>
      </c>
      <c r="D11" s="11" t="s">
        <v>5</v>
      </c>
      <c r="E11" s="9"/>
      <c r="F11" s="9"/>
      <c r="G11" s="9"/>
      <c r="H11" s="9"/>
    </row>
    <row r="12" spans="1:8" ht="28">
      <c r="A12" s="12" t="s">
        <v>84</v>
      </c>
      <c r="B12" s="25">
        <v>20</v>
      </c>
      <c r="C12" s="25">
        <v>50</v>
      </c>
      <c r="D12" s="12" t="s">
        <v>85</v>
      </c>
      <c r="E12" s="9"/>
      <c r="F12" s="9"/>
      <c r="G12" s="9"/>
      <c r="H12" s="9"/>
    </row>
    <row r="13" spans="1:8">
      <c r="A13" s="12" t="s">
        <v>86</v>
      </c>
      <c r="B13" s="25">
        <v>5</v>
      </c>
      <c r="C13" s="25">
        <v>20</v>
      </c>
      <c r="D13" s="12" t="s">
        <v>87</v>
      </c>
      <c r="E13" s="9"/>
      <c r="F13" s="9"/>
      <c r="G13" s="9"/>
      <c r="H13" s="9"/>
    </row>
    <row r="14" spans="1:8">
      <c r="A14" s="12" t="s">
        <v>88</v>
      </c>
      <c r="B14" s="25">
        <v>0</v>
      </c>
      <c r="C14" s="25">
        <v>30</v>
      </c>
      <c r="D14" s="12" t="s">
        <v>89</v>
      </c>
      <c r="E14" s="9"/>
      <c r="F14" s="9"/>
      <c r="G14" s="9"/>
      <c r="H14" s="9"/>
    </row>
    <row r="15" spans="1:8" ht="28">
      <c r="A15" s="12" t="s">
        <v>90</v>
      </c>
      <c r="B15" s="25">
        <v>0</v>
      </c>
      <c r="C15" s="25">
        <v>10</v>
      </c>
      <c r="D15" s="12" t="s">
        <v>91</v>
      </c>
      <c r="E15" s="9"/>
      <c r="F15" s="9"/>
      <c r="G15" s="9"/>
      <c r="H15" s="9"/>
    </row>
    <row r="16" spans="1:8">
      <c r="A16" s="12" t="s">
        <v>92</v>
      </c>
      <c r="B16" s="25">
        <v>0</v>
      </c>
      <c r="C16" s="25">
        <v>500</v>
      </c>
      <c r="D16" s="12" t="s">
        <v>93</v>
      </c>
      <c r="E16" s="9"/>
      <c r="F16" s="9"/>
      <c r="G16" s="9"/>
      <c r="H16" s="9"/>
    </row>
    <row r="17" spans="1:8" ht="28">
      <c r="A17" s="13" t="s">
        <v>94</v>
      </c>
      <c r="B17" s="26">
        <f>SUM(B12:B15)</f>
        <v>25</v>
      </c>
      <c r="C17" s="26">
        <f>SUM(C12:C15)</f>
        <v>110</v>
      </c>
      <c r="D17" s="13" t="s">
        <v>95</v>
      </c>
      <c r="E17" s="9"/>
      <c r="F17" s="9"/>
      <c r="G17" s="9"/>
      <c r="H17" s="9"/>
    </row>
    <row r="18" spans="1:8" ht="28">
      <c r="A18" s="27" t="s">
        <v>96</v>
      </c>
      <c r="B18" s="28">
        <f>B17+B16</f>
        <v>25</v>
      </c>
      <c r="C18" s="28">
        <f>C17+C16</f>
        <v>610</v>
      </c>
      <c r="D18" s="27" t="s">
        <v>97</v>
      </c>
      <c r="E18" s="9"/>
      <c r="F18" s="9"/>
      <c r="G18" s="9"/>
      <c r="H18" s="9"/>
    </row>
    <row r="19" spans="1:8">
      <c r="A19" s="9"/>
      <c r="B19" s="9"/>
      <c r="C19" s="9"/>
      <c r="D19" s="9"/>
      <c r="E19" s="9"/>
      <c r="F19" s="9"/>
      <c r="G19" s="9"/>
      <c r="H19" s="9"/>
    </row>
    <row r="20" spans="1:8">
      <c r="A20" s="9"/>
      <c r="B20" s="9"/>
      <c r="C20" s="9"/>
      <c r="D20" s="9"/>
      <c r="E20" s="9"/>
      <c r="F20" s="9"/>
      <c r="G20" s="9"/>
      <c r="H20" s="9"/>
    </row>
    <row r="21" spans="1:8">
      <c r="A21" s="14" t="s">
        <v>98</v>
      </c>
      <c r="B21" s="9"/>
      <c r="C21" s="9"/>
      <c r="D21" s="9"/>
      <c r="E21" s="9"/>
      <c r="F21" s="9"/>
      <c r="G21" s="9"/>
      <c r="H21" s="9"/>
    </row>
    <row r="22" spans="1:8" ht="28">
      <c r="A22" s="11" t="s">
        <v>99</v>
      </c>
      <c r="B22" s="11" t="s">
        <v>100</v>
      </c>
      <c r="C22" s="11" t="s">
        <v>101</v>
      </c>
      <c r="D22" s="11" t="s">
        <v>102</v>
      </c>
      <c r="E22" s="11" t="s">
        <v>103</v>
      </c>
      <c r="F22" s="11" t="s">
        <v>104</v>
      </c>
      <c r="G22" s="11" t="s">
        <v>105</v>
      </c>
      <c r="H22" s="11" t="s">
        <v>106</v>
      </c>
    </row>
    <row r="23" spans="1:8">
      <c r="A23" s="12" t="s">
        <v>107</v>
      </c>
      <c r="B23" s="25">
        <f>B7</f>
        <v>3400</v>
      </c>
      <c r="C23" s="25">
        <f>C7</f>
        <v>5100</v>
      </c>
      <c r="D23" s="25">
        <f>B17</f>
        <v>25</v>
      </c>
      <c r="E23" s="25">
        <f>C17</f>
        <v>110</v>
      </c>
      <c r="F23" s="25">
        <f>B23+D23*12</f>
        <v>3700</v>
      </c>
      <c r="G23" s="25">
        <f>C23+E23*12</f>
        <v>6420</v>
      </c>
      <c r="H23" s="12" t="s">
        <v>108</v>
      </c>
    </row>
    <row r="24" spans="1:8">
      <c r="A24" s="12" t="s">
        <v>109</v>
      </c>
      <c r="B24" s="25">
        <f>B7</f>
        <v>3400</v>
      </c>
      <c r="C24" s="25">
        <f>C7</f>
        <v>5100</v>
      </c>
      <c r="D24" s="25">
        <f>B18</f>
        <v>25</v>
      </c>
      <c r="E24" s="25">
        <f>C18</f>
        <v>610</v>
      </c>
      <c r="F24" s="25">
        <f>B24+D24*12</f>
        <v>3700</v>
      </c>
      <c r="G24" s="25">
        <f>C24+E24*12</f>
        <v>12420</v>
      </c>
      <c r="H24" s="12" t="s">
        <v>110</v>
      </c>
    </row>
    <row r="25" spans="1:8" ht="28">
      <c r="A25" s="12" t="s">
        <v>111</v>
      </c>
      <c r="B25" s="25">
        <v>0</v>
      </c>
      <c r="C25" s="25">
        <v>0</v>
      </c>
      <c r="D25" s="25">
        <v>148</v>
      </c>
      <c r="E25" s="25" t="s">
        <v>112</v>
      </c>
      <c r="F25" s="25">
        <f>D25*12</f>
        <v>1776</v>
      </c>
      <c r="G25" s="25" t="s">
        <v>112</v>
      </c>
      <c r="H25" s="12" t="s">
        <v>113</v>
      </c>
    </row>
    <row r="26" spans="1:8" ht="28">
      <c r="A26" s="12" t="s">
        <v>114</v>
      </c>
      <c r="B26" s="25">
        <v>0</v>
      </c>
      <c r="C26" s="25">
        <v>0</v>
      </c>
      <c r="D26" s="29" t="s">
        <v>115</v>
      </c>
      <c r="E26" s="29" t="s">
        <v>115</v>
      </c>
      <c r="F26" s="29" t="s">
        <v>115</v>
      </c>
      <c r="G26" s="29" t="s">
        <v>115</v>
      </c>
      <c r="H26" s="12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topLeftCell="A14" workbookViewId="0">
      <selection activeCell="D18" sqref="D18"/>
    </sheetView>
  </sheetViews>
  <sheetFormatPr baseColWidth="10" defaultColWidth="8.83203125" defaultRowHeight="14"/>
  <cols>
    <col min="1" max="1" width="28.83203125" style="10" customWidth="1"/>
    <col min="2" max="2" width="12.1640625" style="10" customWidth="1"/>
    <col min="3" max="3" width="21.1640625" style="10" customWidth="1"/>
    <col min="4" max="5" width="25.5" style="10" customWidth="1"/>
    <col min="6" max="6" width="21.1640625" style="10" customWidth="1"/>
    <col min="7" max="7" width="23.33203125" style="10" customWidth="1"/>
    <col min="8" max="8" width="21.1640625" style="10" customWidth="1"/>
    <col min="9" max="9" width="18.83203125" style="10" customWidth="1"/>
    <col min="10" max="10" width="21.1640625" style="10" customWidth="1"/>
    <col min="11" max="11" width="44.5" style="10" customWidth="1"/>
    <col min="12" max="16384" width="8.83203125" style="10"/>
  </cols>
  <sheetData>
    <row r="1" spans="1:11">
      <c r="A1" s="17" t="s">
        <v>117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>
      <c r="A3" s="11" t="s">
        <v>118</v>
      </c>
      <c r="B3" s="11" t="s">
        <v>119</v>
      </c>
      <c r="C3" s="11" t="s">
        <v>3</v>
      </c>
      <c r="D3" s="11" t="s">
        <v>120</v>
      </c>
      <c r="E3" s="11" t="s">
        <v>121</v>
      </c>
      <c r="F3" s="11" t="s">
        <v>122</v>
      </c>
      <c r="G3" s="11" t="s">
        <v>123</v>
      </c>
      <c r="H3" s="11" t="s">
        <v>124</v>
      </c>
      <c r="I3" s="11" t="s">
        <v>125</v>
      </c>
      <c r="J3" s="11" t="s">
        <v>126</v>
      </c>
      <c r="K3" s="11" t="s">
        <v>5</v>
      </c>
    </row>
    <row r="4" spans="1:11" ht="28">
      <c r="A4" s="12" t="s">
        <v>127</v>
      </c>
      <c r="B4" s="12" t="s">
        <v>128</v>
      </c>
      <c r="C4" s="12" t="s">
        <v>129</v>
      </c>
      <c r="D4" s="12" t="s">
        <v>130</v>
      </c>
      <c r="E4" s="12" t="s">
        <v>131</v>
      </c>
      <c r="F4" s="12" t="s">
        <v>132</v>
      </c>
      <c r="G4" s="12" t="s">
        <v>133</v>
      </c>
      <c r="H4" s="12" t="s">
        <v>132</v>
      </c>
      <c r="I4" s="12" t="s">
        <v>134</v>
      </c>
      <c r="J4" s="12" t="s">
        <v>135</v>
      </c>
      <c r="K4" s="12" t="s">
        <v>136</v>
      </c>
    </row>
    <row r="5" spans="1:11">
      <c r="A5" s="12" t="s">
        <v>137</v>
      </c>
      <c r="B5" s="12" t="s">
        <v>128</v>
      </c>
      <c r="C5" s="12" t="s">
        <v>138</v>
      </c>
      <c r="D5" s="12" t="s">
        <v>138</v>
      </c>
      <c r="E5" s="12" t="s">
        <v>138</v>
      </c>
      <c r="F5" s="12" t="s">
        <v>138</v>
      </c>
      <c r="G5" s="12" t="s">
        <v>138</v>
      </c>
      <c r="H5" s="12" t="s">
        <v>138</v>
      </c>
      <c r="I5" s="12" t="s">
        <v>138</v>
      </c>
      <c r="J5" s="12" t="s">
        <v>138</v>
      </c>
      <c r="K5" s="12" t="s">
        <v>139</v>
      </c>
    </row>
    <row r="6" spans="1:11">
      <c r="A6" s="12" t="s">
        <v>140</v>
      </c>
      <c r="B6" s="12" t="s">
        <v>128</v>
      </c>
      <c r="C6" s="12" t="s">
        <v>138</v>
      </c>
      <c r="D6" s="12" t="s">
        <v>138</v>
      </c>
      <c r="E6" s="12" t="s">
        <v>138</v>
      </c>
      <c r="F6" s="12" t="s">
        <v>141</v>
      </c>
      <c r="G6" s="12" t="s">
        <v>142</v>
      </c>
      <c r="H6" s="12" t="s">
        <v>138</v>
      </c>
      <c r="I6" s="12" t="s">
        <v>143</v>
      </c>
      <c r="J6" s="12" t="s">
        <v>144</v>
      </c>
      <c r="K6" s="12" t="s">
        <v>145</v>
      </c>
    </row>
    <row r="7" spans="1:11">
      <c r="A7" s="12" t="s">
        <v>146</v>
      </c>
      <c r="B7" s="12" t="s">
        <v>128</v>
      </c>
      <c r="C7" s="12" t="s">
        <v>147</v>
      </c>
      <c r="D7" s="12" t="s">
        <v>138</v>
      </c>
      <c r="E7" s="12" t="s">
        <v>138</v>
      </c>
      <c r="F7" s="12" t="s">
        <v>138</v>
      </c>
      <c r="G7" s="12" t="s">
        <v>138</v>
      </c>
      <c r="H7" s="12" t="s">
        <v>138</v>
      </c>
      <c r="I7" s="12" t="s">
        <v>138</v>
      </c>
      <c r="J7" s="12" t="s">
        <v>138</v>
      </c>
      <c r="K7" s="12" t="s">
        <v>148</v>
      </c>
    </row>
    <row r="8" spans="1:11">
      <c r="A8" s="12" t="s">
        <v>149</v>
      </c>
      <c r="B8" s="12" t="s">
        <v>128</v>
      </c>
      <c r="C8" s="12" t="s">
        <v>138</v>
      </c>
      <c r="D8" s="12" t="s">
        <v>138</v>
      </c>
      <c r="E8" s="12" t="s">
        <v>150</v>
      </c>
      <c r="F8" s="12" t="s">
        <v>138</v>
      </c>
      <c r="G8" s="12" t="s">
        <v>138</v>
      </c>
      <c r="H8" s="12" t="s">
        <v>138</v>
      </c>
      <c r="I8" s="12" t="s">
        <v>138</v>
      </c>
      <c r="J8" s="12" t="s">
        <v>138</v>
      </c>
      <c r="K8" s="12" t="s">
        <v>151</v>
      </c>
    </row>
    <row r="9" spans="1:11">
      <c r="A9" s="12" t="s">
        <v>152</v>
      </c>
      <c r="B9" s="12" t="s">
        <v>128</v>
      </c>
      <c r="C9" s="12" t="s">
        <v>138</v>
      </c>
      <c r="D9" s="12" t="s">
        <v>153</v>
      </c>
      <c r="E9" s="12" t="s">
        <v>154</v>
      </c>
      <c r="F9" s="12" t="s">
        <v>155</v>
      </c>
      <c r="G9" s="12" t="s">
        <v>138</v>
      </c>
      <c r="H9" s="12" t="s">
        <v>138</v>
      </c>
      <c r="I9" s="12" t="s">
        <v>138</v>
      </c>
      <c r="J9" s="12" t="s">
        <v>156</v>
      </c>
      <c r="K9" s="12" t="s">
        <v>157</v>
      </c>
    </row>
    <row r="10" spans="1:11" ht="28">
      <c r="A10" s="12" t="s">
        <v>158</v>
      </c>
      <c r="B10" s="12" t="s">
        <v>128</v>
      </c>
      <c r="C10" s="12" t="s">
        <v>159</v>
      </c>
      <c r="D10" s="12" t="s">
        <v>160</v>
      </c>
      <c r="E10" s="12" t="s">
        <v>161</v>
      </c>
      <c r="F10" s="12" t="s">
        <v>162</v>
      </c>
      <c r="G10" s="12" t="s">
        <v>163</v>
      </c>
      <c r="H10" s="12" t="s">
        <v>164</v>
      </c>
      <c r="I10" s="12" t="s">
        <v>165</v>
      </c>
      <c r="J10" s="12" t="s">
        <v>166</v>
      </c>
      <c r="K10" s="12" t="s">
        <v>167</v>
      </c>
    </row>
    <row r="11" spans="1:11">
      <c r="A11" s="12" t="s">
        <v>168</v>
      </c>
      <c r="B11" s="12" t="s">
        <v>169</v>
      </c>
      <c r="C11" s="12" t="s">
        <v>170</v>
      </c>
      <c r="D11" s="12" t="s">
        <v>171</v>
      </c>
      <c r="E11" s="12" t="s">
        <v>172</v>
      </c>
      <c r="F11" s="12" t="s">
        <v>138</v>
      </c>
      <c r="G11" s="12" t="s">
        <v>138</v>
      </c>
      <c r="H11" s="12" t="s">
        <v>138</v>
      </c>
      <c r="I11" s="12" t="s">
        <v>138</v>
      </c>
      <c r="J11" s="12" t="s">
        <v>138</v>
      </c>
      <c r="K11" s="12" t="s">
        <v>173</v>
      </c>
    </row>
    <row r="12" spans="1:11" ht="28">
      <c r="A12" s="12" t="s">
        <v>174</v>
      </c>
      <c r="B12" s="12" t="s">
        <v>175</v>
      </c>
      <c r="C12" s="12" t="s">
        <v>176</v>
      </c>
      <c r="D12" s="12" t="s">
        <v>177</v>
      </c>
      <c r="E12" s="12" t="s">
        <v>177</v>
      </c>
      <c r="F12" s="12" t="s">
        <v>177</v>
      </c>
      <c r="G12" s="12" t="s">
        <v>177</v>
      </c>
      <c r="H12" s="12" t="s">
        <v>177</v>
      </c>
      <c r="I12" s="12" t="s">
        <v>177</v>
      </c>
      <c r="J12" s="12" t="s">
        <v>177</v>
      </c>
      <c r="K12" s="12" t="s">
        <v>178</v>
      </c>
    </row>
    <row r="13" spans="1:11" ht="28">
      <c r="A13" s="12" t="s">
        <v>179</v>
      </c>
      <c r="B13" s="12" t="s">
        <v>128</v>
      </c>
      <c r="C13" s="12" t="s">
        <v>180</v>
      </c>
      <c r="D13" s="12" t="s">
        <v>181</v>
      </c>
      <c r="E13" s="12" t="s">
        <v>182</v>
      </c>
      <c r="F13" s="12" t="s">
        <v>183</v>
      </c>
      <c r="G13" s="12" t="s">
        <v>183</v>
      </c>
      <c r="H13" s="12" t="s">
        <v>183</v>
      </c>
      <c r="I13" s="12" t="s">
        <v>183</v>
      </c>
      <c r="J13" s="12" t="s">
        <v>183</v>
      </c>
      <c r="K13" s="12" t="s">
        <v>184</v>
      </c>
    </row>
    <row r="14" spans="1:1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>
      <c r="A16" s="14" t="s">
        <v>185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11" t="s">
        <v>186</v>
      </c>
      <c r="B17" s="11" t="s">
        <v>187</v>
      </c>
      <c r="C17" s="11" t="s">
        <v>188</v>
      </c>
      <c r="D17" s="9"/>
      <c r="E17" s="9"/>
      <c r="F17" s="9"/>
      <c r="G17" s="9"/>
      <c r="H17" s="9"/>
      <c r="I17" s="9"/>
      <c r="J17" s="9"/>
      <c r="K17" s="9"/>
    </row>
    <row r="18" spans="1:11" ht="56">
      <c r="A18" s="12" t="s">
        <v>120</v>
      </c>
      <c r="B18" s="12" t="s">
        <v>189</v>
      </c>
      <c r="C18" s="12" t="s">
        <v>190</v>
      </c>
      <c r="D18" s="9"/>
      <c r="E18" s="9"/>
      <c r="F18" s="9"/>
      <c r="G18" s="9"/>
      <c r="H18" s="9"/>
      <c r="I18" s="9"/>
      <c r="J18" s="9"/>
      <c r="K18" s="9"/>
    </row>
    <row r="19" spans="1:11" ht="56">
      <c r="A19" s="12" t="s">
        <v>121</v>
      </c>
      <c r="B19" s="12" t="s">
        <v>191</v>
      </c>
      <c r="C19" s="12" t="s">
        <v>192</v>
      </c>
      <c r="D19" s="9"/>
      <c r="E19" s="9"/>
      <c r="F19" s="9"/>
      <c r="G19" s="9"/>
      <c r="H19" s="9"/>
      <c r="I19" s="9"/>
      <c r="J19" s="9"/>
      <c r="K19" s="9"/>
    </row>
    <row r="20" spans="1:11" ht="42">
      <c r="A20" s="12" t="s">
        <v>122</v>
      </c>
      <c r="B20" s="12" t="s">
        <v>193</v>
      </c>
      <c r="C20" s="12" t="s">
        <v>194</v>
      </c>
      <c r="D20" s="9"/>
      <c r="E20" s="9"/>
      <c r="F20" s="9"/>
      <c r="G20" s="9"/>
      <c r="H20" s="9"/>
      <c r="I20" s="9"/>
      <c r="J20" s="9"/>
      <c r="K20" s="9"/>
    </row>
    <row r="21" spans="1:11" ht="42">
      <c r="A21" s="12" t="s">
        <v>123</v>
      </c>
      <c r="B21" s="12" t="s">
        <v>195</v>
      </c>
      <c r="C21" s="12" t="s">
        <v>196</v>
      </c>
      <c r="D21" s="9"/>
      <c r="E21" s="9"/>
      <c r="F21" s="9"/>
      <c r="G21" s="9"/>
      <c r="H21" s="9"/>
      <c r="I21" s="9"/>
      <c r="J21" s="9"/>
      <c r="K21" s="9"/>
    </row>
    <row r="22" spans="1:11" ht="42">
      <c r="A22" s="12" t="s">
        <v>124</v>
      </c>
      <c r="B22" s="12" t="s">
        <v>197</v>
      </c>
      <c r="C22" s="12" t="s">
        <v>198</v>
      </c>
      <c r="D22" s="9"/>
      <c r="E22" s="9"/>
      <c r="F22" s="9"/>
      <c r="G22" s="9"/>
      <c r="H22" s="9"/>
      <c r="I22" s="9"/>
      <c r="J22" s="9"/>
      <c r="K22" s="9"/>
    </row>
    <row r="23" spans="1:11" ht="56">
      <c r="A23" s="12" t="s">
        <v>125</v>
      </c>
      <c r="B23" s="12" t="s">
        <v>199</v>
      </c>
      <c r="C23" s="12" t="s">
        <v>200</v>
      </c>
      <c r="D23" s="9"/>
      <c r="E23" s="9"/>
      <c r="F23" s="9"/>
      <c r="G23" s="9"/>
      <c r="H23" s="9"/>
      <c r="I23" s="9"/>
      <c r="J23" s="9"/>
      <c r="K23" s="9"/>
    </row>
    <row r="24" spans="1:11" ht="42">
      <c r="A24" s="12" t="s">
        <v>126</v>
      </c>
      <c r="B24" s="12" t="s">
        <v>201</v>
      </c>
      <c r="C24" s="12" t="s">
        <v>202</v>
      </c>
      <c r="D24" s="9"/>
      <c r="E24" s="9"/>
      <c r="F24" s="9"/>
      <c r="G24" s="9"/>
      <c r="H24" s="9"/>
      <c r="I24" s="9"/>
      <c r="J24" s="9"/>
      <c r="K24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workbookViewId="0">
      <selection activeCell="B24" sqref="B24"/>
    </sheetView>
  </sheetViews>
  <sheetFormatPr baseColWidth="10" defaultColWidth="8.83203125" defaultRowHeight="14"/>
  <cols>
    <col min="1" max="1" width="17.83203125" customWidth="1"/>
    <col min="2" max="2" width="23.33203125" customWidth="1"/>
    <col min="3" max="3" width="28.83203125" customWidth="1"/>
    <col min="4" max="4" width="36.6640625" customWidth="1"/>
    <col min="5" max="5" width="40" customWidth="1"/>
    <col min="6" max="6" width="46.6640625" customWidth="1"/>
  </cols>
  <sheetData>
    <row r="1" spans="1:6" ht="20" customHeight="1">
      <c r="A1" s="4" t="s">
        <v>203</v>
      </c>
      <c r="B1" s="1"/>
      <c r="C1" s="1"/>
      <c r="D1" s="1"/>
      <c r="E1" s="1"/>
      <c r="F1" s="1"/>
    </row>
    <row r="2" spans="1:6" ht="20" customHeight="1">
      <c r="A2" s="1"/>
      <c r="B2" s="1"/>
      <c r="C2" s="1"/>
      <c r="D2" s="1"/>
      <c r="E2" s="1"/>
      <c r="F2" s="1"/>
    </row>
    <row r="3" spans="1:6" ht="32" customHeight="1">
      <c r="A3" s="1" t="s">
        <v>41</v>
      </c>
      <c r="B3" s="6" t="s">
        <v>204</v>
      </c>
      <c r="C3" s="6" t="s">
        <v>204</v>
      </c>
      <c r="D3" s="6" t="s">
        <v>204</v>
      </c>
      <c r="E3" s="6" t="s">
        <v>204</v>
      </c>
      <c r="F3" s="6" t="s">
        <v>204</v>
      </c>
    </row>
    <row r="4" spans="1:6" ht="20" customHeight="1">
      <c r="A4" s="1"/>
      <c r="B4" s="1"/>
      <c r="C4" s="1"/>
      <c r="D4" s="1"/>
      <c r="E4" s="1"/>
      <c r="F4" s="1"/>
    </row>
    <row r="5" spans="1:6" ht="20" customHeight="1">
      <c r="A5" s="2" t="s">
        <v>186</v>
      </c>
      <c r="B5" s="2" t="s">
        <v>205</v>
      </c>
      <c r="C5" s="2" t="s">
        <v>206</v>
      </c>
      <c r="D5" s="2" t="s">
        <v>207</v>
      </c>
      <c r="E5" s="2" t="s">
        <v>208</v>
      </c>
      <c r="F5" s="2" t="s">
        <v>209</v>
      </c>
    </row>
    <row r="6" spans="1:6" ht="48" customHeight="1">
      <c r="A6" s="3" t="s">
        <v>120</v>
      </c>
      <c r="B6" s="3" t="s">
        <v>210</v>
      </c>
      <c r="C6" s="3" t="s">
        <v>211</v>
      </c>
      <c r="D6" s="3" t="s">
        <v>212</v>
      </c>
      <c r="E6" s="3" t="s">
        <v>213</v>
      </c>
      <c r="F6" s="3" t="s">
        <v>214</v>
      </c>
    </row>
    <row r="7" spans="1:6" ht="48" customHeight="1">
      <c r="A7" s="3" t="s">
        <v>121</v>
      </c>
      <c r="B7" s="3" t="s">
        <v>215</v>
      </c>
      <c r="C7" s="3" t="s">
        <v>216</v>
      </c>
      <c r="D7" s="3" t="s">
        <v>217</v>
      </c>
      <c r="E7" s="3" t="s">
        <v>218</v>
      </c>
      <c r="F7" s="3" t="s">
        <v>219</v>
      </c>
    </row>
    <row r="8" spans="1:6" ht="32" customHeight="1">
      <c r="A8" s="3" t="s">
        <v>122</v>
      </c>
      <c r="B8" s="3" t="s">
        <v>220</v>
      </c>
      <c r="C8" s="3" t="s">
        <v>221</v>
      </c>
      <c r="D8" s="3" t="s">
        <v>222</v>
      </c>
      <c r="E8" s="3" t="s">
        <v>223</v>
      </c>
      <c r="F8" s="3" t="s">
        <v>224</v>
      </c>
    </row>
    <row r="9" spans="1:6" ht="32" customHeight="1">
      <c r="A9" s="3" t="s">
        <v>123</v>
      </c>
      <c r="B9" s="3" t="s">
        <v>220</v>
      </c>
      <c r="C9" s="3" t="s">
        <v>225</v>
      </c>
      <c r="D9" s="3" t="s">
        <v>226</v>
      </c>
      <c r="E9" s="3" t="s">
        <v>227</v>
      </c>
      <c r="F9" s="3" t="s">
        <v>228</v>
      </c>
    </row>
    <row r="10" spans="1:6" ht="32" customHeight="1">
      <c r="A10" s="3" t="s">
        <v>124</v>
      </c>
      <c r="B10" s="3" t="s">
        <v>229</v>
      </c>
      <c r="C10" s="3" t="s">
        <v>230</v>
      </c>
      <c r="D10" s="3" t="s">
        <v>231</v>
      </c>
      <c r="E10" s="3" t="s">
        <v>232</v>
      </c>
      <c r="F10" s="3" t="s">
        <v>233</v>
      </c>
    </row>
    <row r="11" spans="1:6" ht="32" customHeight="1">
      <c r="A11" s="3" t="s">
        <v>125</v>
      </c>
      <c r="B11" s="3" t="s">
        <v>234</v>
      </c>
      <c r="C11" s="3" t="s">
        <v>235</v>
      </c>
      <c r="D11" s="3" t="s">
        <v>236</v>
      </c>
      <c r="E11" s="3" t="s">
        <v>237</v>
      </c>
      <c r="F11" s="3" t="s">
        <v>238</v>
      </c>
    </row>
    <row r="12" spans="1:6" ht="32" customHeight="1">
      <c r="A12" s="3" t="s">
        <v>126</v>
      </c>
      <c r="B12" s="3" t="s">
        <v>239</v>
      </c>
      <c r="C12" s="3" t="s">
        <v>240</v>
      </c>
      <c r="D12" s="3" t="s">
        <v>241</v>
      </c>
      <c r="E12" s="3" t="s">
        <v>242</v>
      </c>
      <c r="F12" s="3" t="s">
        <v>243</v>
      </c>
    </row>
    <row r="13" spans="1:6" ht="32" customHeight="1">
      <c r="A13" s="3" t="s">
        <v>244</v>
      </c>
      <c r="B13" s="3" t="s">
        <v>239</v>
      </c>
      <c r="C13" s="3" t="s">
        <v>245</v>
      </c>
      <c r="D13" s="3" t="s">
        <v>246</v>
      </c>
      <c r="E13" s="3" t="s">
        <v>247</v>
      </c>
      <c r="F13" s="3" t="s">
        <v>248</v>
      </c>
    </row>
    <row r="14" spans="1:6" ht="20" customHeight="1">
      <c r="A14" s="1"/>
      <c r="B14" s="1"/>
      <c r="C14" s="1"/>
      <c r="D14" s="1"/>
      <c r="E14" s="1"/>
      <c r="F14" s="1"/>
    </row>
    <row r="15" spans="1:6" ht="20" customHeight="1">
      <c r="A15" s="1"/>
      <c r="B15" s="1"/>
      <c r="C15" s="1"/>
      <c r="D15" s="1"/>
      <c r="E15" s="1"/>
      <c r="F15" s="1"/>
    </row>
    <row r="16" spans="1:6" ht="20" customHeight="1">
      <c r="A16" s="5" t="s">
        <v>249</v>
      </c>
      <c r="B16" s="1"/>
      <c r="C16" s="1"/>
      <c r="D16" s="1"/>
      <c r="E16" s="1"/>
      <c r="F16" s="1"/>
    </row>
    <row r="17" spans="1:6" ht="20" customHeight="1">
      <c r="A17" s="2" t="s">
        <v>186</v>
      </c>
      <c r="B17" s="2" t="s">
        <v>187</v>
      </c>
      <c r="C17" s="1"/>
      <c r="D17" s="1"/>
      <c r="E17" s="1"/>
      <c r="F17" s="1"/>
    </row>
    <row r="18" spans="1:6" ht="20" customHeight="1">
      <c r="A18" s="3" t="s">
        <v>120</v>
      </c>
      <c r="B18" s="3" t="s">
        <v>189</v>
      </c>
      <c r="C18" s="1"/>
      <c r="D18" s="1"/>
      <c r="E18" s="1"/>
      <c r="F18" s="1"/>
    </row>
    <row r="19" spans="1:6" ht="20" customHeight="1">
      <c r="A19" s="3" t="s">
        <v>121</v>
      </c>
      <c r="B19" s="3" t="s">
        <v>191</v>
      </c>
      <c r="C19" s="1"/>
      <c r="D19" s="1"/>
      <c r="E19" s="1"/>
      <c r="F19" s="1"/>
    </row>
    <row r="20" spans="1:6" ht="20" customHeight="1">
      <c r="A20" s="3" t="s">
        <v>122</v>
      </c>
      <c r="B20" s="3" t="s">
        <v>193</v>
      </c>
      <c r="C20" s="1"/>
      <c r="D20" s="1"/>
      <c r="E20" s="1"/>
      <c r="F20" s="1"/>
    </row>
    <row r="21" spans="1:6" ht="20" customHeight="1">
      <c r="A21" s="3" t="s">
        <v>123</v>
      </c>
      <c r="B21" s="3" t="s">
        <v>195</v>
      </c>
      <c r="C21" s="1"/>
      <c r="D21" s="1"/>
      <c r="E21" s="1"/>
      <c r="F21" s="1"/>
    </row>
    <row r="22" spans="1:6" ht="20" customHeight="1">
      <c r="A22" s="3" t="s">
        <v>124</v>
      </c>
      <c r="B22" s="3" t="s">
        <v>197</v>
      </c>
      <c r="C22" s="1"/>
      <c r="D22" s="1"/>
      <c r="E22" s="1"/>
      <c r="F22" s="1"/>
    </row>
    <row r="23" spans="1:6" ht="20" customHeight="1">
      <c r="A23" s="3" t="s">
        <v>125</v>
      </c>
      <c r="B23" s="3" t="s">
        <v>199</v>
      </c>
      <c r="C23" s="1"/>
      <c r="D23" s="1"/>
      <c r="E23" s="1"/>
      <c r="F23" s="1"/>
    </row>
    <row r="24" spans="1:6" ht="20" customHeight="1">
      <c r="A24" s="3" t="s">
        <v>126</v>
      </c>
      <c r="B24" s="30" t="s">
        <v>201</v>
      </c>
      <c r="C24" s="1"/>
      <c r="D24" s="1"/>
      <c r="E24" s="1"/>
      <c r="F24" s="1"/>
    </row>
    <row r="25" spans="1:6" ht="32" customHeight="1">
      <c r="A25" s="3" t="s">
        <v>244</v>
      </c>
      <c r="B25" s="3" t="s">
        <v>250</v>
      </c>
      <c r="C25" s="1"/>
      <c r="D25" s="1"/>
      <c r="E25" s="1"/>
      <c r="F25" s="1"/>
    </row>
  </sheetData>
  <mergeCells count="1">
    <mergeCell ref="B3:F3"/>
  </mergeCells>
  <hyperlinks>
    <hyperlink ref="B24" r:id="rId1" xr:uid="{D8BAA1EE-2199-6A42-91A4-36E9C9F6313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"/>
  <sheetViews>
    <sheetView workbookViewId="0">
      <selection activeCell="C17" sqref="C17"/>
    </sheetView>
  </sheetViews>
  <sheetFormatPr baseColWidth="10" defaultColWidth="8.83203125" defaultRowHeight="14"/>
  <cols>
    <col min="1" max="1" width="36.6640625" style="10" customWidth="1"/>
    <col min="2" max="2" width="62.1640625" style="10" customWidth="1"/>
    <col min="3" max="3" width="47.83203125" style="10" customWidth="1"/>
    <col min="4" max="16384" width="8.83203125" style="10"/>
  </cols>
  <sheetData>
    <row r="1" spans="1:3">
      <c r="A1" s="17" t="s">
        <v>251</v>
      </c>
      <c r="B1" s="9"/>
      <c r="C1" s="9"/>
    </row>
    <row r="2" spans="1:3">
      <c r="A2" s="9"/>
      <c r="B2" s="9"/>
      <c r="C2" s="9"/>
    </row>
    <row r="3" spans="1:3">
      <c r="A3" s="14" t="s">
        <v>252</v>
      </c>
      <c r="B3" s="9"/>
      <c r="C3" s="9"/>
    </row>
    <row r="4" spans="1:3">
      <c r="A4" s="11" t="s">
        <v>253</v>
      </c>
      <c r="B4" s="11" t="s">
        <v>254</v>
      </c>
      <c r="C4" s="11" t="s">
        <v>255</v>
      </c>
    </row>
    <row r="5" spans="1:3" ht="28">
      <c r="A5" s="12" t="s">
        <v>256</v>
      </c>
      <c r="B5" s="12" t="s">
        <v>257</v>
      </c>
      <c r="C5" s="12" t="s">
        <v>258</v>
      </c>
    </row>
    <row r="6" spans="1:3" ht="28">
      <c r="A6" s="12" t="s">
        <v>259</v>
      </c>
      <c r="B6" s="12" t="s">
        <v>260</v>
      </c>
      <c r="C6" s="12" t="s">
        <v>261</v>
      </c>
    </row>
    <row r="7" spans="1:3" ht="42">
      <c r="A7" s="12" t="s">
        <v>262</v>
      </c>
      <c r="B7" s="12" t="s">
        <v>263</v>
      </c>
      <c r="C7" s="12" t="s">
        <v>264</v>
      </c>
    </row>
    <row r="8" spans="1:3" ht="28">
      <c r="A8" s="12" t="s">
        <v>265</v>
      </c>
      <c r="B8" s="12" t="s">
        <v>266</v>
      </c>
      <c r="C8" s="12" t="s">
        <v>267</v>
      </c>
    </row>
    <row r="9" spans="1:3">
      <c r="A9" s="12" t="s">
        <v>268</v>
      </c>
      <c r="B9" s="12" t="s">
        <v>269</v>
      </c>
      <c r="C9" s="12" t="s">
        <v>270</v>
      </c>
    </row>
    <row r="10" spans="1:3">
      <c r="A10" s="12" t="s">
        <v>271</v>
      </c>
      <c r="B10" s="12" t="s">
        <v>272</v>
      </c>
      <c r="C10" s="12" t="s">
        <v>273</v>
      </c>
    </row>
    <row r="11" spans="1:3" ht="28">
      <c r="A11" s="12" t="s">
        <v>274</v>
      </c>
      <c r="B11" s="12" t="s">
        <v>275</v>
      </c>
      <c r="C11" s="12" t="s">
        <v>276</v>
      </c>
    </row>
    <row r="12" spans="1:3">
      <c r="A12" s="9"/>
      <c r="B12" s="9"/>
      <c r="C12" s="9"/>
    </row>
    <row r="13" spans="1:3">
      <c r="A13" s="9"/>
      <c r="B13" s="9"/>
      <c r="C13" s="9"/>
    </row>
    <row r="14" spans="1:3">
      <c r="A14" s="14" t="s">
        <v>277</v>
      </c>
      <c r="B14" s="9"/>
      <c r="C14" s="9"/>
    </row>
    <row r="15" spans="1:3">
      <c r="A15" s="11" t="s">
        <v>61</v>
      </c>
      <c r="B15" s="11" t="s">
        <v>278</v>
      </c>
      <c r="C15" s="11" t="s">
        <v>279</v>
      </c>
    </row>
    <row r="16" spans="1:3" ht="28">
      <c r="A16" s="12" t="s">
        <v>280</v>
      </c>
      <c r="B16" s="12" t="s">
        <v>281</v>
      </c>
      <c r="C16" s="12" t="s">
        <v>176</v>
      </c>
    </row>
    <row r="17" spans="1:3" ht="28">
      <c r="A17" s="12" t="s">
        <v>282</v>
      </c>
      <c r="B17" s="12" t="s">
        <v>283</v>
      </c>
      <c r="C17" s="12" t="s">
        <v>176</v>
      </c>
    </row>
    <row r="18" spans="1:3" ht="28">
      <c r="A18" s="12" t="s">
        <v>284</v>
      </c>
      <c r="B18" s="12" t="s">
        <v>285</v>
      </c>
      <c r="C18" s="12" t="s">
        <v>176</v>
      </c>
    </row>
    <row r="19" spans="1:3" ht="28">
      <c r="A19" s="12" t="s">
        <v>286</v>
      </c>
      <c r="B19" s="12" t="s">
        <v>287</v>
      </c>
      <c r="C19" s="12" t="s">
        <v>176</v>
      </c>
    </row>
    <row r="20" spans="1:3" ht="28">
      <c r="A20" s="12" t="s">
        <v>288</v>
      </c>
      <c r="B20" s="12" t="s">
        <v>289</v>
      </c>
      <c r="C20" s="12" t="s">
        <v>176</v>
      </c>
    </row>
    <row r="21" spans="1:3" ht="28">
      <c r="A21" s="12" t="s">
        <v>290</v>
      </c>
      <c r="B21" s="12" t="s">
        <v>291</v>
      </c>
      <c r="C21" s="12" t="s">
        <v>292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tabSelected="1" workbookViewId="0">
      <selection activeCell="B17" sqref="B17"/>
    </sheetView>
  </sheetViews>
  <sheetFormatPr baseColWidth="10" defaultColWidth="8.83203125" defaultRowHeight="14"/>
  <cols>
    <col min="1" max="1" width="20" customWidth="1"/>
    <col min="2" max="2" width="47.83203125" customWidth="1"/>
    <col min="3" max="3" width="72.1640625" customWidth="1"/>
  </cols>
  <sheetData>
    <row r="1" spans="1:3" ht="28">
      <c r="A1" s="4" t="s">
        <v>293</v>
      </c>
      <c r="B1" s="1"/>
      <c r="C1" s="1"/>
    </row>
    <row r="2" spans="1:3">
      <c r="A2" s="1"/>
      <c r="B2" s="1"/>
      <c r="C2" s="1"/>
    </row>
    <row r="3" spans="1:3">
      <c r="A3" s="2" t="s">
        <v>294</v>
      </c>
      <c r="B3" s="2" t="s">
        <v>187</v>
      </c>
      <c r="C3" s="2" t="s">
        <v>295</v>
      </c>
    </row>
    <row r="4" spans="1:3" ht="28">
      <c r="A4" s="3" t="s">
        <v>120</v>
      </c>
      <c r="B4" s="3" t="s">
        <v>189</v>
      </c>
      <c r="C4" s="3" t="s">
        <v>296</v>
      </c>
    </row>
    <row r="5" spans="1:3" ht="28">
      <c r="A5" s="3" t="s">
        <v>121</v>
      </c>
      <c r="B5" s="3" t="s">
        <v>191</v>
      </c>
      <c r="C5" s="3" t="s">
        <v>297</v>
      </c>
    </row>
    <row r="6" spans="1:3">
      <c r="A6" s="3" t="s">
        <v>122</v>
      </c>
      <c r="B6" s="3" t="s">
        <v>193</v>
      </c>
      <c r="C6" s="3" t="s">
        <v>298</v>
      </c>
    </row>
    <row r="7" spans="1:3">
      <c r="A7" s="3" t="s">
        <v>123</v>
      </c>
      <c r="B7" s="3" t="s">
        <v>195</v>
      </c>
      <c r="C7" s="3" t="s">
        <v>299</v>
      </c>
    </row>
    <row r="8" spans="1:3">
      <c r="A8" s="3" t="s">
        <v>124</v>
      </c>
      <c r="B8" s="3" t="s">
        <v>197</v>
      </c>
      <c r="C8" s="3" t="s">
        <v>300</v>
      </c>
    </row>
    <row r="9" spans="1:3">
      <c r="A9" s="3" t="s">
        <v>126</v>
      </c>
      <c r="B9" s="3" t="s">
        <v>201</v>
      </c>
      <c r="C9" s="3" t="s">
        <v>301</v>
      </c>
    </row>
    <row r="10" spans="1:3" ht="28">
      <c r="A10" s="3" t="s">
        <v>125</v>
      </c>
      <c r="B10" s="3" t="s">
        <v>199</v>
      </c>
      <c r="C10" s="3" t="s">
        <v>302</v>
      </c>
    </row>
    <row r="11" spans="1:3">
      <c r="A11" s="3" t="s">
        <v>303</v>
      </c>
      <c r="B11" s="3" t="s">
        <v>250</v>
      </c>
      <c r="C11" s="3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Entscheidungsmatrix</vt:lpstr>
      <vt:lpstr>Zusammenfassung</vt:lpstr>
      <vt:lpstr>Vorteile &amp; Chancen</vt:lpstr>
      <vt:lpstr>Entwicklung vs Markttool</vt:lpstr>
      <vt:lpstr>Anforderungsmatrix</vt:lpstr>
      <vt:lpstr>Anbieter-Vergleich</vt:lpstr>
      <vt:lpstr>Risiken &amp; nächste Schritte</vt:lpstr>
      <vt:lpstr>Quellen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Westen</cp:lastModifiedBy>
  <dcterms:modified xsi:type="dcterms:W3CDTF">2026-06-21T15:46:34Z</dcterms:modified>
</cp:coreProperties>
</file>