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1" autoFilterDateGrouping="1"/>
  </bookViews>
  <sheets>
    <sheet xmlns:r="http://schemas.openxmlformats.org/officeDocument/2006/relationships" name="Zeiterfassung" sheetId="1" state="visible" r:id="rId1"/>
    <sheet xmlns:r="http://schemas.openxmlformats.org/officeDocument/2006/relationships" name="Budgetübersicht" sheetId="2" state="visible" r:id="rId2"/>
    <sheet xmlns:r="http://schemas.openxmlformats.org/officeDocument/2006/relationships" name="Einstellungen" sheetId="3" state="visible" r:id="rId3"/>
    <sheet xmlns:r="http://schemas.openxmlformats.org/officeDocument/2006/relationships" name="Datenbasis" sheetId="4" state="visible" r:id="rId4"/>
    <sheet xmlns:r="http://schemas.openxmlformats.org/officeDocument/2006/relationships" name="Auswertung" sheetId="5" state="visible" r:id="rId5"/>
    <sheet xmlns:r="http://schemas.openxmlformats.org/officeDocument/2006/relationships" name="Monatstätigkeitsschein" sheetId="6" state="visible" r:id="rId6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dd&quot;.&quot;mm&quot;.&quot;yyyy"/>
    <numFmt numFmtId="165" formatCode="#,##0.00\ [$EUR]"/>
    <numFmt numFmtId="166" formatCode="0.0%"/>
    <numFmt numFmtId="167" formatCode="[$-de-DE]MMMM YYYY"/>
    <numFmt numFmtId="168" formatCode="#,##0.00 [$€-407]"/>
  </numFmts>
  <fonts count="16">
    <font>
      <name val="Carlito"/>
      <sz val="11"/>
    </font>
    <font>
      <name val="Aptos"/>
      <b val="1"/>
      <color rgb="FFFFFFFF"/>
      <sz val="18"/>
    </font>
    <font>
      <name val="Aptos"/>
      <b val="1"/>
      <color rgb="FFFFFFFF"/>
      <sz val="10"/>
    </font>
    <font>
      <name val="Aptos"/>
      <sz val="10"/>
    </font>
    <font>
      <name val="Aptos"/>
      <i val="1"/>
      <color rgb="FF475569"/>
      <sz val="10"/>
    </font>
    <font>
      <name val="Aptos"/>
      <b val="1"/>
      <sz val="10"/>
    </font>
    <font>
      <name val="Aptos"/>
      <b val="1"/>
      <color rgb="FF000000"/>
      <sz val="10"/>
    </font>
    <font>
      <name val="Carlito"/>
      <sz val="11"/>
    </font>
    <font>
      <name val="Aptos"/>
      <b val="1"/>
      <sz val="11"/>
    </font>
    <font>
      <name val="Aptos"/>
      <sz val="11"/>
    </font>
    <font>
      <name val="Aptos"/>
      <b val="1"/>
      <sz val="18"/>
    </font>
    <font>
      <name val="Aptos"/>
      <b val="1"/>
      <color rgb="FFFFFFFF"/>
      <sz val="12"/>
    </font>
    <font>
      <name val="Aptos"/>
      <b val="1"/>
      <color rgb="00FFFFFF"/>
      <sz val="12"/>
    </font>
    <font>
      <name val="Aptos"/>
      <b val="1"/>
      <color rgb="00FFFFFF"/>
      <sz val="18"/>
    </font>
    <font>
      <name val="Aptos"/>
      <b val="1"/>
      <sz val="12"/>
    </font>
    <font>
      <name val="Aptos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  <fill>
      <patternFill patternType="solid">
        <fgColor rgb="FFF3F3F3"/>
      </patternFill>
    </fill>
    <fill>
      <patternFill patternType="solid">
        <fgColor rgb="FF0F766E"/>
      </patternFill>
    </fill>
    <fill>
      <patternFill patternType="solid">
        <fgColor rgb="FFEAF2FF"/>
      </patternFill>
    </fill>
    <fill>
      <patternFill patternType="solid">
        <fgColor rgb="00243B53"/>
      </patternFill>
    </fill>
    <fill>
      <patternFill patternType="solid">
        <fgColor rgb="00F1F5F9"/>
      </patternFill>
    </fill>
    <fill>
      <patternFill patternType="solid">
        <fgColor rgb="00FFF7CC"/>
      </patternFill>
    </fill>
    <fill>
      <patternFill patternType="solid">
        <fgColor rgb="00EAF2FF"/>
      </patternFill>
    </fill>
    <fill>
      <patternFill patternType="solid">
        <fgColor rgb="000F766E"/>
      </patternFill>
    </fill>
  </fills>
  <borders count="38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0B5F59"/>
      </left>
      <right style="thin">
        <color rgb="000B5F59"/>
      </right>
      <top style="thin">
        <color rgb="000B5F59"/>
      </top>
      <bottom style="thin">
        <color rgb="000B5F59"/>
      </bottom>
    </border>
  </borders>
  <cellStyleXfs count="2">
    <xf numFmtId="0" fontId="7" fillId="0" borderId="28"/>
    <xf numFmtId="0" fontId="7" fillId="0" borderId="28"/>
  </cellStyleXfs>
  <cellXfs count="100">
    <xf numFmtId="0" fontId="0" fillId="0" borderId="0" pivotButton="0" quotePrefix="0" xfId="0"/>
    <xf numFmtId="0" fontId="3" fillId="0" borderId="0" pivotButton="0" quotePrefix="0" xfId="1"/>
    <xf numFmtId="0" fontId="5" fillId="4" borderId="1" pivotButton="0" quotePrefix="0" xfId="1"/>
    <xf numFmtId="164" fontId="3" fillId="0" borderId="1" applyAlignment="1" pivotButton="0" quotePrefix="0" xfId="1">
      <alignment wrapText="1"/>
    </xf>
    <xf numFmtId="0" fontId="2" fillId="5" borderId="0" applyAlignment="1" pivotButton="0" quotePrefix="0" xfId="1">
      <alignment horizontal="center"/>
    </xf>
    <xf numFmtId="4" fontId="3" fillId="0" borderId="1" applyAlignment="1" pivotButton="0" quotePrefix="0" xfId="1">
      <alignment wrapText="1"/>
    </xf>
    <xf numFmtId="0" fontId="3" fillId="0" borderId="1" pivotButton="0" quotePrefix="0" xfId="1"/>
    <xf numFmtId="0" fontId="3" fillId="0" borderId="1" applyAlignment="1" pivotButton="0" quotePrefix="0" xfId="1">
      <alignment wrapText="1"/>
    </xf>
    <xf numFmtId="0" fontId="6" fillId="6" borderId="2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/>
    </xf>
    <xf numFmtId="49" fontId="5" fillId="3" borderId="3" applyAlignment="1" pivotButton="0" quotePrefix="0" xfId="1">
      <alignment horizontal="center"/>
    </xf>
    <xf numFmtId="4" fontId="5" fillId="3" borderId="3" applyAlignment="1" pivotButton="0" quotePrefix="0" xfId="1">
      <alignment horizontal="center"/>
    </xf>
    <xf numFmtId="165" fontId="5" fillId="3" borderId="3" applyAlignment="1" pivotButton="0" quotePrefix="0" xfId="1">
      <alignment horizontal="center"/>
    </xf>
    <xf numFmtId="164" fontId="3" fillId="7" borderId="4" applyAlignment="1" pivotButton="0" quotePrefix="0" xfId="1">
      <alignment horizontal="center" vertical="top" wrapText="1"/>
    </xf>
    <xf numFmtId="0" fontId="3" fillId="7" borderId="4" applyAlignment="1" pivotButton="0" quotePrefix="0" xfId="1">
      <alignment vertical="top" wrapText="1"/>
    </xf>
    <xf numFmtId="4" fontId="3" fillId="7" borderId="4" applyAlignment="1" pivotButton="0" quotePrefix="0" xfId="1">
      <alignment horizontal="right" vertical="top" wrapText="1"/>
    </xf>
    <xf numFmtId="1" fontId="3" fillId="7" borderId="4" applyAlignment="1" pivotButton="0" quotePrefix="0" xfId="1">
      <alignment horizontal="right" vertical="top" wrapText="1"/>
    </xf>
    <xf numFmtId="0" fontId="2" fillId="2" borderId="5" pivotButton="0" quotePrefix="0" xfId="1"/>
    <xf numFmtId="49" fontId="5" fillId="3" borderId="3" applyAlignment="1" pivotButton="0" quotePrefix="0" xfId="1">
      <alignment horizontal="right"/>
    </xf>
    <xf numFmtId="0" fontId="2" fillId="5" borderId="6" applyAlignment="1" pivotButton="0" quotePrefix="0" xfId="1">
      <alignment horizontal="center" vertical="center" wrapText="1"/>
    </xf>
    <xf numFmtId="4" fontId="5" fillId="3" borderId="3" applyAlignment="1" pivotButton="0" quotePrefix="0" xfId="1">
      <alignment horizontal="right"/>
    </xf>
    <xf numFmtId="0" fontId="3" fillId="0" borderId="1" applyAlignment="1" pivotButton="0" quotePrefix="0" xfId="1">
      <alignment vertical="top" wrapText="1"/>
    </xf>
    <xf numFmtId="4" fontId="3" fillId="0" borderId="1" applyAlignment="1" pivotButton="0" quotePrefix="0" xfId="1">
      <alignment vertical="top" wrapText="1"/>
    </xf>
    <xf numFmtId="166" fontId="3" fillId="0" borderId="1" applyAlignment="1" pivotButton="0" quotePrefix="0" xfId="1">
      <alignment vertical="top" wrapText="1"/>
    </xf>
    <xf numFmtId="165" fontId="5" fillId="3" borderId="3" applyAlignment="1" pivotButton="0" quotePrefix="0" xfId="1">
      <alignment horizontal="right"/>
    </xf>
    <xf numFmtId="0" fontId="5" fillId="4" borderId="1" applyAlignment="1" pivotButton="0" quotePrefix="0" xfId="1">
      <alignment vertical="top"/>
    </xf>
    <xf numFmtId="165" fontId="3" fillId="0" borderId="1" applyAlignment="1" pivotButton="0" quotePrefix="0" xfId="1">
      <alignment vertical="top" wrapText="1"/>
    </xf>
    <xf numFmtId="49" fontId="5" fillId="3" borderId="3" pivotButton="0" quotePrefix="0" xfId="1"/>
    <xf numFmtId="0" fontId="5" fillId="3" borderId="3" pivotButton="0" quotePrefix="0" xfId="1"/>
    <xf numFmtId="4" fontId="5" fillId="3" borderId="3" pivotButton="0" quotePrefix="0" xfId="1"/>
    <xf numFmtId="165" fontId="5" fillId="3" borderId="3" pivotButton="0" quotePrefix="0" xfId="1"/>
    <xf numFmtId="164" fontId="3" fillId="0" borderId="1" applyAlignment="1" pivotButton="0" quotePrefix="0" xfId="1">
      <alignment horizontal="center" vertical="top" wrapText="1"/>
    </xf>
    <xf numFmtId="4" fontId="3" fillId="0" borderId="1" applyAlignment="1" pivotButton="0" quotePrefix="0" xfId="1">
      <alignment horizontal="right" vertical="top" wrapText="1"/>
    </xf>
    <xf numFmtId="164" fontId="3" fillId="7" borderId="19" applyAlignment="1" pivotButton="0" quotePrefix="0" xfId="1">
      <alignment horizontal="center" vertical="top" wrapText="1"/>
    </xf>
    <xf numFmtId="0" fontId="3" fillId="7" borderId="19" applyAlignment="1" pivotButton="0" quotePrefix="0" xfId="1">
      <alignment vertical="top" wrapText="1"/>
    </xf>
    <xf numFmtId="4" fontId="3" fillId="7" borderId="19" applyAlignment="1" pivotButton="0" quotePrefix="0" xfId="1">
      <alignment horizontal="right" vertical="top" wrapText="1"/>
    </xf>
    <xf numFmtId="0" fontId="2" fillId="5" borderId="20" applyAlignment="1" pivotButton="0" quotePrefix="0" xfId="0">
      <alignment horizontal="center" vertical="top" wrapText="1"/>
    </xf>
    <xf numFmtId="164" fontId="3" fillId="0" borderId="20" applyAlignment="1" pivotButton="0" quotePrefix="0" xfId="0">
      <alignment horizontal="center" vertical="top" wrapText="1"/>
    </xf>
    <xf numFmtId="0" fontId="3" fillId="0" borderId="20" applyAlignment="1" pivotButton="0" quotePrefix="0" xfId="0">
      <alignment vertical="top" wrapText="1"/>
    </xf>
    <xf numFmtId="4" fontId="3" fillId="0" borderId="20" applyAlignment="1" pivotButton="0" quotePrefix="0" xfId="0">
      <alignment horizontal="right" vertical="top" wrapText="1"/>
    </xf>
    <xf numFmtId="0" fontId="10" fillId="10" borderId="29" applyAlignment="1" pivotButton="0" quotePrefix="0" xfId="0">
      <alignment horizontal="center" vertical="center" wrapText="1"/>
    </xf>
    <xf numFmtId="0" fontId="9" fillId="0" borderId="28" pivotButton="0" quotePrefix="0" xfId="1"/>
    <xf numFmtId="0" fontId="11" fillId="11" borderId="29" applyAlignment="1" pivotButton="0" quotePrefix="0" xfId="0">
      <alignment horizontal="right" vertical="center"/>
    </xf>
    <xf numFmtId="0" fontId="8" fillId="0" borderId="30" applyAlignment="1" pivotButton="0" quotePrefix="0" xfId="0">
      <alignment horizontal="left" vertical="center" wrapText="1"/>
    </xf>
    <xf numFmtId="0" fontId="9" fillId="0" borderId="30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right" vertical="center" wrapText="1"/>
    </xf>
    <xf numFmtId="0" fontId="9" fillId="0" borderId="28" pivotButton="0" quotePrefix="0" xfId="0"/>
    <xf numFmtId="0" fontId="8" fillId="12" borderId="29" applyAlignment="1" pivotButton="0" quotePrefix="0" xfId="0">
      <alignment horizontal="left" vertical="center" wrapText="1"/>
    </xf>
    <xf numFmtId="0" fontId="8" fillId="12" borderId="29" applyAlignment="1" pivotButton="0" quotePrefix="0" xfId="0">
      <alignment horizontal="right" vertical="center" wrapText="1"/>
    </xf>
    <xf numFmtId="0" fontId="11" fillId="11" borderId="29" applyAlignment="1" pivotButton="0" quotePrefix="0" xfId="0">
      <alignment horizontal="right" vertical="center" wrapText="1"/>
    </xf>
    <xf numFmtId="0" fontId="11" fillId="11" borderId="29" applyAlignment="1" pivotButton="0" quotePrefix="0" xfId="0">
      <alignment horizontal="left" vertical="center"/>
    </xf>
    <xf numFmtId="0" fontId="0" fillId="0" borderId="27" pivotButton="0" quotePrefix="0" xfId="0"/>
    <xf numFmtId="0" fontId="11" fillId="11" borderId="29" applyAlignment="1" pivotButton="0" quotePrefix="0" xfId="0">
      <alignment horizontal="left" vertical="center" wrapText="1"/>
    </xf>
    <xf numFmtId="0" fontId="1" fillId="2" borderId="27" applyAlignment="1" pivotButton="0" quotePrefix="0" xfId="1">
      <alignment vertical="center"/>
    </xf>
    <xf numFmtId="0" fontId="0" fillId="0" borderId="0" pivotButton="0" quotePrefix="0" xfId="0"/>
    <xf numFmtId="0" fontId="4" fillId="3" borderId="27" applyAlignment="1" pivotButton="0" quotePrefix="0" xfId="1">
      <alignment vertical="center" wrapText="1"/>
    </xf>
    <xf numFmtId="0" fontId="3" fillId="0" borderId="1" applyAlignment="1" pivotButton="0" quotePrefix="0" xfId="1">
      <alignment vertical="top" wrapText="1"/>
    </xf>
    <xf numFmtId="0" fontId="0" fillId="0" borderId="21" pivotButton="0" quotePrefix="0" xfId="0"/>
    <xf numFmtId="0" fontId="0" fillId="0" borderId="22" pivotButton="0" quotePrefix="0" xfId="0"/>
    <xf numFmtId="0" fontId="2" fillId="8" borderId="27" applyAlignment="1" pivotButton="0" quotePrefix="0" xfId="1">
      <alignment vertical="center"/>
    </xf>
    <xf numFmtId="0" fontId="5" fillId="4" borderId="25" applyAlignment="1" pivotButton="0" quotePrefix="0" xfId="1">
      <alignment wrapText="1"/>
    </xf>
    <xf numFmtId="0" fontId="0" fillId="0" borderId="14" pivotButton="0" quotePrefix="0" xfId="0"/>
    <xf numFmtId="0" fontId="0" fillId="0" borderId="15" pivotButton="0" quotePrefix="0" xfId="0"/>
    <xf numFmtId="0" fontId="3" fillId="0" borderId="23" applyAlignment="1" pivotButton="0" quotePrefix="0" xfId="1">
      <alignment wrapText="1"/>
    </xf>
    <xf numFmtId="0" fontId="0" fillId="0" borderId="17" pivotButton="0" quotePrefix="0" xfId="0"/>
    <xf numFmtId="0" fontId="0" fillId="0" borderId="18" pivotButton="0" quotePrefix="0" xfId="0"/>
    <xf numFmtId="0" fontId="3" fillId="0" borderId="26" applyAlignment="1" pivotButton="0" quotePrefix="0" xfId="1">
      <alignment wrapText="1"/>
    </xf>
    <xf numFmtId="0" fontId="0" fillId="0" borderId="16" pivotButton="0" quotePrefix="0" xfId="0"/>
    <xf numFmtId="164" fontId="3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3" fillId="9" borderId="24" applyAlignment="1" pivotButton="0" quotePrefix="0" xfId="1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4" fontId="9" fillId="0" borderId="28" pivotButton="0" quotePrefix="0" xfId="0"/>
    <xf numFmtId="0" fontId="0" fillId="0" borderId="33" pivotButton="0" quotePrefix="0" xfId="0"/>
    <xf numFmtId="0" fontId="13" fillId="13" borderId="0" applyAlignment="1" pivotButton="0" quotePrefix="0" xfId="0">
      <alignment vertical="center"/>
    </xf>
    <xf numFmtId="0" fontId="14" fillId="0" borderId="0" pivotButton="0" quotePrefix="0" xfId="0"/>
    <xf numFmtId="0" fontId="5" fillId="14" borderId="36" applyAlignment="1" pivotButton="0" quotePrefix="0" xfId="0">
      <alignment vertical="center" wrapText="1"/>
    </xf>
    <xf numFmtId="2" fontId="5" fillId="15" borderId="36" applyAlignment="1" pivotButton="0" quotePrefix="0" xfId="0">
      <alignment horizontal="right" vertical="center"/>
    </xf>
    <xf numFmtId="0" fontId="15" fillId="17" borderId="37" applyAlignment="1" pivotButton="0" quotePrefix="0" xfId="0">
      <alignment horizontal="center" vertical="center" wrapText="1"/>
    </xf>
    <xf numFmtId="167" fontId="3" fillId="0" borderId="36" applyAlignment="1" pivotButton="0" quotePrefix="0" xfId="0">
      <alignment horizontal="left" vertical="center" wrapText="1"/>
    </xf>
    <xf numFmtId="2" fontId="3" fillId="0" borderId="36" applyAlignment="1" pivotButton="0" quotePrefix="0" xfId="0">
      <alignment horizontal="right" vertical="center" wrapText="1"/>
    </xf>
    <xf numFmtId="2" fontId="3" fillId="16" borderId="36" applyAlignment="1" pivotButton="0" quotePrefix="0" xfId="0">
      <alignment horizontal="right" vertical="center" wrapText="1"/>
    </xf>
    <xf numFmtId="0" fontId="3" fillId="0" borderId="36" applyAlignment="1" pivotButton="0" quotePrefix="0" xfId="0">
      <alignment horizontal="left" vertical="center" wrapText="1"/>
    </xf>
    <xf numFmtId="0" fontId="1" fillId="2" borderId="28" applyAlignment="1" pivotButton="0" quotePrefix="0" xfId="1">
      <alignment vertical="center"/>
    </xf>
    <xf numFmtId="0" fontId="4" fillId="3" borderId="28" applyAlignment="1" pivotButton="0" quotePrefix="0" xfId="1">
      <alignment vertical="center" wrapText="1"/>
    </xf>
    <xf numFmtId="0" fontId="12" fillId="13" borderId="0" applyAlignment="1" pivotButton="0" quotePrefix="0" xfId="0">
      <alignment vertical="center"/>
    </xf>
    <xf numFmtId="0" fontId="3" fillId="15" borderId="36" applyAlignment="1" pivotButton="0" quotePrefix="0" xfId="0">
      <alignment vertical="center" wrapText="1"/>
    </xf>
    <xf numFmtId="0" fontId="3" fillId="16" borderId="36" applyAlignment="1" pivotButton="0" quotePrefix="0" xfId="0">
      <alignment vertical="center" wrapText="1"/>
    </xf>
    <xf numFmtId="2" fontId="3" fillId="7" borderId="4" applyAlignment="1" pivotButton="0" quotePrefix="0" xfId="1">
      <alignment horizontal="right" vertical="top" wrapText="1"/>
    </xf>
    <xf numFmtId="168" fontId="3" fillId="7" borderId="4" applyAlignment="1" pivotButton="0" quotePrefix="0" xfId="1">
      <alignment horizontal="right" vertical="top" wrapText="1"/>
    </xf>
    <xf numFmtId="0" fontId="2" fillId="8" borderId="28" applyAlignment="1" pivotButton="0" quotePrefix="0" xfId="1">
      <alignment vertical="center"/>
    </xf>
    <xf numFmtId="167" fontId="3" fillId="0" borderId="36" applyAlignment="1" pivotButton="0" quotePrefix="0" xfId="0">
      <alignment horizontal="left" vertical="center" wrapText="1"/>
    </xf>
    <xf numFmtId="168" fontId="3" fillId="7" borderId="4" applyAlignment="1" pivotButton="0" quotePrefix="0" xfId="1">
      <alignment horizontal="right" vertical="top" wrapText="1"/>
    </xf>
    <xf numFmtId="0" fontId="12" fillId="13" borderId="28" applyAlignment="1" pivotButton="0" quotePrefix="0" xfId="0">
      <alignment vertical="center"/>
    </xf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tabSelected="0" workbookViewId="0">
      <pane ySplit="1" topLeftCell="A31" activePane="bottomLeft" state="frozen"/>
      <selection activeCell="D7" sqref="D7"/>
      <selection pane="bottomLeft" activeCell="D7" sqref="D7"/>
    </sheetView>
  </sheetViews>
  <sheetFormatPr baseColWidth="10" defaultColWidth="8.83203125" defaultRowHeight="14"/>
  <cols>
    <col width="23" customWidth="1" style="54" min="1" max="1"/>
    <col width="96" customWidth="1" style="54" min="2" max="2"/>
    <col width="18" customWidth="1" style="54" min="3" max="3"/>
    <col width="3" customWidth="1" style="54" min="4" max="4"/>
    <col width="18" customWidth="1" style="54" min="5" max="5"/>
  </cols>
  <sheetData>
    <row r="1" ht="52" customHeight="1" s="54">
      <c r="A1" s="40" t="inlineStr">
        <is>
          <t>Datum</t>
        </is>
      </c>
      <c r="B1" s="40" t="inlineStr">
        <is>
          <t>Aufgabe</t>
        </is>
      </c>
      <c r="C1" s="40" t="inlineStr">
        <is>
          <t>Arbeitszeit
(Stunden)</t>
        </is>
      </c>
      <c r="D1" s="41" t="n"/>
      <c r="E1" s="41" t="n"/>
    </row>
    <row r="2" ht="28" customHeight="1" s="54">
      <c r="A2" s="50" t="inlineStr">
        <is>
          <t>KW 26 (22.06.–28.06.2026)</t>
        </is>
      </c>
      <c r="B2" s="79" t="n"/>
      <c r="C2" s="42" t="inlineStr">
        <is>
          <t>16,00 Std.</t>
        </is>
      </c>
      <c r="D2" s="41" t="n"/>
      <c r="E2" s="41" t="n"/>
    </row>
    <row r="3" ht="58" customHeight="1" s="54">
      <c r="A3" s="43" t="inlineStr">
        <is>
          <t>23. Juni 2026</t>
        </is>
      </c>
      <c r="B3" s="44" t="inlineStr">
        <is>
          <t>QR Code / Short.io: Ausarbeitung einer strukturierten Leistungsbeschreibung für die geplante Short.io-Anfrage einschließlich fachlicher Anforderungen, relevanter Rahmenbedingungen und prüffähiger Anfrageinhalte als Grundlage für die weitere Anbieterabstimmung.</t>
        </is>
      </c>
      <c r="C3" s="45" t="inlineStr">
        <is>
          <t>1,20</t>
        </is>
      </c>
      <c r="D3" s="41" t="n"/>
      <c r="E3" s="41" t="n"/>
    </row>
    <row r="4" ht="58" customHeight="1" s="54">
      <c r="A4" s="43" t="inlineStr">
        <is>
          <t>24. Juni 2026</t>
        </is>
      </c>
      <c r="B4" s="44" t="inlineStr">
        <is>
          <t>Studie 2027: Abstimmung mit Jule, Simone und Cathleen zur Konzeption und Einordnung der vier vorgesehenen Testvarianten; Klärung zentraler Anforderungen, Variantenlogik und nächster Schritte für die weitere Studienplanung.</t>
        </is>
      </c>
      <c r="C4" s="45" t="inlineStr">
        <is>
          <t>1,00</t>
        </is>
      </c>
      <c r="D4" s="41" t="n"/>
      <c r="E4" s="41" t="n"/>
    </row>
    <row r="5" ht="58" customHeight="1" s="54">
      <c r="A5" s="43" t="inlineStr">
        <is>
          <t>24. Juni 2026</t>
        </is>
      </c>
      <c r="B5" s="44" t="inlineStr">
        <is>
          <t>Studie 2027: Einarbeitung in Methodik und Studienunterlagen; Recherche und fachliche Einordnung der verwendeten Methode sowie Durcharbeitung vorhandener Präsentationsunterlagen zur Vorbereitung der weiteren konzeptionellen und inhaltlichen Ausarbeitung.</t>
        </is>
      </c>
      <c r="C5" s="45" t="inlineStr">
        <is>
          <t>1,60</t>
        </is>
      </c>
      <c r="D5" s="41" t="n"/>
      <c r="E5" s="41" t="n"/>
    </row>
    <row r="6" ht="58" customHeight="1" s="54">
      <c r="A6" s="43" t="inlineStr">
        <is>
          <t>24. Juni 2026</t>
        </is>
      </c>
      <c r="B6" s="44" t="inlineStr">
        <is>
          <t>Studie 2027: Erstellung und Strukturierung eines Briefings für Cathleen zur weiteren Bearbeitung der Präsentation, einschließlich Zusammenfassung relevanter Inhalte und Anforderungen für die nächste Ausarbeitungsschleife.</t>
        </is>
      </c>
      <c r="C6" s="45" t="inlineStr">
        <is>
          <t>0,50</t>
        </is>
      </c>
      <c r="D6" s="41" t="n"/>
      <c r="E6" s="41" t="n"/>
    </row>
    <row r="7" ht="58" customHeight="1" s="54">
      <c r="A7" s="43" t="inlineStr">
        <is>
          <t>25. Juni 2026</t>
        </is>
      </c>
      <c r="B7" s="44" t="inlineStr">
        <is>
          <t>Studie 2027: Finalisierung des Briefings für Cathleen sowie Ausarbeitung und Präzisierung von Textvorschlägen und Visualisierungsansätzen für die Studienpräsentation.</t>
        </is>
      </c>
      <c r="C7" s="45" t="inlineStr">
        <is>
          <t>1,20</t>
        </is>
      </c>
      <c r="D7" s="41" t="n"/>
      <c r="E7" s="41" t="n"/>
    </row>
    <row r="8" ht="58" customHeight="1" s="54">
      <c r="A8" s="43" t="inlineStr">
        <is>
          <t>25. Juni 2026</t>
        </is>
      </c>
      <c r="B8" s="44" t="inlineStr">
        <is>
          <t>Studie 2027: Vorbereitung und Formulierung der Anfrage zu POSTWURFSPEZIAL unter Berücksichtigung der für die Studienumsetzung relevanten Anforderungen und Abstimmungsbedarfe.</t>
        </is>
      </c>
      <c r="C8" s="45" t="inlineStr">
        <is>
          <t>0,60</t>
        </is>
      </c>
      <c r="D8" s="41" t="n"/>
      <c r="E8" s="41" t="n"/>
    </row>
    <row r="9" ht="58" customHeight="1" s="54">
      <c r="A9" s="43" t="inlineStr">
        <is>
          <t>25. Juni 2026</t>
        </is>
      </c>
      <c r="B9" s="44" t="inlineStr">
        <is>
          <t>Studie 2027: Durchführung einer Ist-/Soll-Analyse für das Studienmailing; Prüfung des Partnerfragebogens und der InDesign-Vorlagen sowie Bewertung möglicher Automatisierungsansätze einschließlich teambezogener Abstimmungen zu Umsetzbarkeit und Vorgehen.</t>
        </is>
      </c>
      <c r="C9" s="45" t="inlineStr">
        <is>
          <t>2,15</t>
        </is>
      </c>
      <c r="D9" s="41" t="n"/>
      <c r="E9" s="41" t="n"/>
    </row>
    <row r="10" ht="58" customHeight="1" s="54">
      <c r="A10" s="43" t="inlineStr">
        <is>
          <t>25. Juni 2026</t>
        </is>
      </c>
      <c r="B10" s="44" t="inlineStr">
        <is>
          <t>Studie 2027: Klärung des geplanten Pre-Test-Vorgehens mit dem Team, einschließlich Abstimmung offener Punkte und Einordnung der nächsten Schritte für die weitere Studienvorbereitung.</t>
        </is>
      </c>
      <c r="C10" s="45" t="inlineStr">
        <is>
          <t>0,30</t>
        </is>
      </c>
      <c r="D10" s="41" t="n"/>
      <c r="E10" s="41" t="n"/>
    </row>
    <row r="11" ht="58" customHeight="1" s="54">
      <c r="A11" s="43" t="inlineStr">
        <is>
          <t>25. Juni 2026</t>
        </is>
      </c>
      <c r="B11" s="44" t="inlineStr">
        <is>
          <t>Studie 2027: Einholung aktueller Statusinformationen und Aktualisierung der Arbeitspakete bis zum 03.07.; Strukturierung offener Punkte und Nachverfolgung relevanter Zuständigkeiten.</t>
        </is>
      </c>
      <c r="C11" s="45" t="inlineStr">
        <is>
          <t>0,50</t>
        </is>
      </c>
      <c r="D11" s="46" t="n"/>
      <c r="E11" s="46" t="n"/>
    </row>
    <row r="12" ht="58" customHeight="1" s="54">
      <c r="A12" s="43" t="inlineStr">
        <is>
          <t>26. Juni 2026</t>
        </is>
      </c>
      <c r="B12" s="44" t="inlineStr">
        <is>
          <t>Studie 2027: Erstellung eines Skripts und einer inhaltlichen Zusammenfassung als Testfassung für Jule und Simone, einschließlich Aufbereitung relevanter Punkte für Prüfung, Feedback und weitere Abstimmung.</t>
        </is>
      </c>
      <c r="C12" s="45" t="inlineStr">
        <is>
          <t>1,55</t>
        </is>
      </c>
      <c r="D12" s="46" t="n"/>
      <c r="E12" s="46" t="n"/>
    </row>
    <row r="13" ht="58" customHeight="1" s="54">
      <c r="A13" s="43" t="inlineStr">
        <is>
          <t>26. Juni 2026</t>
        </is>
      </c>
      <c r="B13" s="44" t="inlineStr">
        <is>
          <t>Studie 2027: Vor- und Nachbereitung der Abstimmung mit Christina einschließlich Terminabgleich, Strukturierung relevanter Inhalte und Ableitung nächster Schritte für die weitere Studien- und Präsentationsarbeit.</t>
        </is>
      </c>
      <c r="C13" s="45" t="inlineStr">
        <is>
          <t>1,10</t>
        </is>
      </c>
      <c r="D13" s="46" t="n"/>
      <c r="E13" s="46" t="n"/>
    </row>
    <row r="14" ht="58" customHeight="1" s="54">
      <c r="A14" s="43" t="inlineStr">
        <is>
          <t>26. Juni 2026</t>
        </is>
      </c>
      <c r="B14" s="44" t="inlineStr">
        <is>
          <t>Studie 2027: Abstimmung mit Lone und Lisa zum Pre-Test sowie zum Stand der bis Freitag vorgesehenen To-dos; Klärung offener Punkte, Zuständigkeiten und nächster Schritte.</t>
        </is>
      </c>
      <c r="C14" s="45" t="inlineStr">
        <is>
          <t>0,70</t>
        </is>
      </c>
      <c r="D14" s="46" t="n"/>
      <c r="E14" s="46" t="n"/>
    </row>
    <row r="15" ht="58" customHeight="1" s="54">
      <c r="A15" s="43" t="inlineStr">
        <is>
          <t>26. Juni 2026</t>
        </is>
      </c>
      <c r="B15" s="44" t="inlineStr">
        <is>
          <t>Studie 2027: Review der von Cathleen überarbeiteten Präsentation; Prüfung inhaltlicher Anpassungen und Ableitung relevanter Rückmeldungen für die weitere Finalisierung.</t>
        </is>
      </c>
      <c r="C15" s="45" t="inlineStr">
        <is>
          <t>0,65</t>
        </is>
      </c>
      <c r="D15" s="46" t="n"/>
      <c r="E15" s="46" t="n"/>
    </row>
    <row r="16" ht="58" customHeight="1" s="54">
      <c r="A16" s="43" t="inlineStr">
        <is>
          <t>26. Juni 2026</t>
        </is>
      </c>
      <c r="B16" s="44" t="inlineStr">
        <is>
          <t>Studie 2027: Einholung und Aufbereitung aktueller Status-Updates; Sichtung vorliegender Ergebnisse sowie Durchführung notwendiger Rücksprachen zur weiteren Koordination.</t>
        </is>
      </c>
      <c r="C16" s="45" t="inlineStr">
        <is>
          <t>0,75</t>
        </is>
      </c>
      <c r="D16" s="46" t="n"/>
      <c r="E16" s="46" t="n"/>
    </row>
    <row r="17" ht="58" customHeight="1" s="54">
      <c r="A17" s="43" t="inlineStr">
        <is>
          <t>26. Juni 2026</t>
        </is>
      </c>
      <c r="B17" s="44" t="inlineStr">
        <is>
          <t>Studie 2027: Auswertung des Testlaufs des InDesign-Skripts; Prüfung der Ergebnisse und Identifikation relevanter Punkte für die nächste technische Überarbeitung.</t>
        </is>
      </c>
      <c r="C17" s="45" t="inlineStr">
        <is>
          <t>1,20</t>
        </is>
      </c>
      <c r="D17" s="46" t="n"/>
      <c r="E17" s="46" t="n"/>
    </row>
    <row r="18" ht="58" customHeight="1" s="54">
      <c r="A18" s="43" t="inlineStr">
        <is>
          <t>27. Juni 2026</t>
        </is>
      </c>
      <c r="B18" s="44" t="inlineStr">
        <is>
          <t>Studie 2027: Zusammenfassung der Ergebnisse des Skripttests und Vorbereitung des nächsten Skripttests einschließlich Strukturierung offener Prüf- und Anpassungspunkte.</t>
        </is>
      </c>
      <c r="C18" s="45" t="inlineStr">
        <is>
          <t>1,00</t>
        </is>
      </c>
      <c r="D18" s="46" t="n"/>
      <c r="E18" s="46" t="n"/>
    </row>
    <row r="19" ht="28" customHeight="1" s="54">
      <c r="A19" s="47" t="n"/>
      <c r="B19" s="47" t="inlineStr">
        <is>
          <t>Summe Stunden KW 26</t>
        </is>
      </c>
      <c r="C19" s="48" t="inlineStr">
        <is>
          <t>16,00</t>
        </is>
      </c>
      <c r="D19" s="46" t="n"/>
      <c r="E19" s="46" t="n"/>
    </row>
    <row r="20" ht="56" customHeight="1" s="54">
      <c r="A20" s="46" t="n"/>
      <c r="B20" s="46" t="n"/>
      <c r="C20" s="46" t="n"/>
      <c r="D20" s="46" t="n"/>
      <c r="E20" s="46" t="n"/>
    </row>
    <row r="21" ht="28" customHeight="1" s="54">
      <c r="A21" s="50" t="inlineStr">
        <is>
          <t>KW 27 (29.06.–05.07.2026)</t>
        </is>
      </c>
      <c r="B21" s="79" t="n"/>
      <c r="C21" s="42" t="inlineStr">
        <is>
          <t>19,85 Std.</t>
        </is>
      </c>
      <c r="D21" s="46" t="n"/>
      <c r="E21" s="46" t="n"/>
    </row>
    <row r="22" ht="58" customHeight="1" s="54">
      <c r="A22" s="43" t="inlineStr">
        <is>
          <t>29. Juni 2026</t>
        </is>
      </c>
      <c r="B22" s="44" t="inlineStr">
        <is>
          <t>Studie 2027: Rückmeldung an Christina mit Bitte um ein Angebot für das Neukundenmodul; Präzisierung des Abstimmungsbedarfs und Vorbereitung der weiteren Entscheidungsgrundlage.</t>
        </is>
      </c>
      <c r="C22" s="45" t="inlineStr">
        <is>
          <t>0,20</t>
        </is>
      </c>
      <c r="D22" s="46" t="n"/>
      <c r="E22" s="46" t="n"/>
    </row>
    <row r="23" ht="58" customHeight="1" s="54">
      <c r="A23" s="43" t="inlineStr">
        <is>
          <t>29. Juni 2026</t>
        </is>
      </c>
      <c r="B23" s="44" t="inlineStr">
        <is>
          <t>Studie 2027: Aktualisierung des Projektplans anhand der Rückmeldungen von Robert; Kommunikation neuer Aufgaben und erwarteter Outcomes an die Beteiligten sowie Beauftragung der benötigten InDesign-Lizenz.</t>
        </is>
      </c>
      <c r="C23" s="45" t="inlineStr">
        <is>
          <t>0,80</t>
        </is>
      </c>
      <c r="D23" s="46" t="n"/>
      <c r="E23" s="46" t="n"/>
    </row>
    <row r="24" ht="58" customHeight="1" s="54">
      <c r="A24" s="43" t="inlineStr">
        <is>
          <t>29. Juni 2026</t>
        </is>
      </c>
      <c r="B24" s="44" t="inlineStr">
        <is>
          <t>Studie 2027: Konzeption und Umsetzungsschritte für eine KI-gestützte Lösung zur Variantenaufbereitung und automatisierten Auswertung von Partnerdaten; Zusammenstellung relevanter Dokumente und Assets für den Testlauf sowie Prüfung des Fragebogens auf Struktur und Umsetzbarkeit.</t>
        </is>
      </c>
      <c r="C24" s="45" t="inlineStr">
        <is>
          <t>3,80</t>
        </is>
      </c>
      <c r="D24" s="46" t="n"/>
      <c r="E24" s="46" t="n"/>
    </row>
    <row r="25" ht="58" customHeight="1" s="54">
      <c r="A25" s="43" t="inlineStr">
        <is>
          <t>29. Juni 2026</t>
        </is>
      </c>
      <c r="B25" s="44" t="inlineStr">
        <is>
          <t>Studie 2027: Call mit Simone zur Erklärung des KI-gestützten Prozesses, Einführung in die InDesign-Anforderungen sowie Abstimmung zur Benennung der Felder und Befüllung der Excel-Vorlage.</t>
        </is>
      </c>
      <c r="C25" s="45" t="inlineStr">
        <is>
          <t>1,00</t>
        </is>
      </c>
      <c r="D25" s="46" t="n"/>
      <c r="E25" s="46" t="n"/>
    </row>
    <row r="26" ht="58" customHeight="1" s="54">
      <c r="A26" s="43" t="inlineStr">
        <is>
          <t>30. Juni 2026</t>
        </is>
      </c>
      <c r="B26" s="44" t="inlineStr">
        <is>
          <t>Studie 2027: Abstimmungen mit Jule, Cathleen und Simone zu aktuellen Herausforderungen, Statusständen und nächsten Schritten; ergänzende Rückmeldung an Christina.</t>
        </is>
      </c>
      <c r="C26" s="45" t="inlineStr">
        <is>
          <t>1,20</t>
        </is>
      </c>
      <c r="D26" s="46" t="n"/>
      <c r="E26" s="46" t="n"/>
    </row>
    <row r="27" ht="58" customHeight="1" s="54">
      <c r="A27" s="43" t="inlineStr">
        <is>
          <t>30. Juni 2026</t>
        </is>
      </c>
      <c r="B27" s="44" t="inlineStr">
        <is>
          <t>Studie 2027: Weiterarbeit an der KI-gestützten Lösung zur Variantenaufbereitung und automatisierten Auswertung von Partnerdaten; Weiterentwicklung des InDesign-Skripts für den nächsten Testlauf.</t>
        </is>
      </c>
      <c r="C27" s="45" t="inlineStr">
        <is>
          <t>1,75</t>
        </is>
      </c>
      <c r="D27" s="46" t="n"/>
      <c r="E27" s="46" t="n"/>
    </row>
    <row r="28" ht="58" customHeight="1" s="54">
      <c r="A28" s="43" t="inlineStr">
        <is>
          <t>30. Juni 2026</t>
        </is>
      </c>
      <c r="B28" s="44" t="inlineStr">
        <is>
          <t>Studie 2027: Review der von Cathleen überarbeiteten Präsentation; Prüfung inhaltlicher Anpassungen und Weitergabe relevanter Rückmeldungen für die weitere Bearbeitung.</t>
        </is>
      </c>
      <c r="C28" s="45" t="inlineStr">
        <is>
          <t>0,60</t>
        </is>
      </c>
      <c r="D28" s="46" t="n"/>
      <c r="E28" s="46" t="n"/>
    </row>
    <row r="29" ht="58" customHeight="1" s="54">
      <c r="A29" s="43" t="inlineStr">
        <is>
          <t>1. Juli 2026</t>
        </is>
      </c>
      <c r="B29" s="44" t="inlineStr">
        <is>
          <t>Studie 2027: Auswertung der Testvariante A; Anpassung des Skripts auf Basis der Testergebnisse sowie Abstimmungen und Status-Update zum weiteren Vorgehen.</t>
        </is>
      </c>
      <c r="C29" s="45" t="inlineStr">
        <is>
          <t>2,75</t>
        </is>
      </c>
      <c r="D29" s="46" t="n"/>
      <c r="E29" s="46" t="n"/>
    </row>
    <row r="30" ht="58" customHeight="1" s="54">
      <c r="A30" s="43" t="inlineStr">
        <is>
          <t>2. Juli 2026</t>
        </is>
      </c>
      <c r="B30" s="44" t="inlineStr">
        <is>
          <t>Studie 2027: Anpassung des Skripts anhand der Variablenliste für alle vier Varianten; Erweiterung um das Einlesen und Einspielen von Bildern sowie Definition und Kommunikation des nächsten Tests über alle vier Varianten.</t>
        </is>
      </c>
      <c r="C30" s="45" t="inlineStr">
        <is>
          <t>2,15</t>
        </is>
      </c>
      <c r="D30" s="46" t="n"/>
      <c r="E30" s="46" t="n"/>
    </row>
    <row r="31" ht="58" customHeight="1" s="54">
      <c r="A31" s="43" t="inlineStr">
        <is>
          <t>2. Juli 2026</t>
        </is>
      </c>
      <c r="B31" s="44" t="inlineStr">
        <is>
          <t>Studie 2027: Vorbereitung eines Ende-zu-Ende-Tests für Shape Labs einschließlich Aufbereitung der Daten, Erstellung des Skripts und Definition der Testmessung.</t>
        </is>
      </c>
      <c r="C31" s="45" t="inlineStr">
        <is>
          <t>1,50</t>
        </is>
      </c>
      <c r="D31" s="46" t="n"/>
      <c r="E31" s="46" t="n"/>
    </row>
    <row r="32" ht="58" customHeight="1" s="54">
      <c r="A32" s="43" t="inlineStr">
        <is>
          <t>3. Juli 2026</t>
        </is>
      </c>
      <c r="B32" s="44" t="inlineStr">
        <is>
          <t>Studie 2027: Abstimmung mit Simone zur Durchführung des Ende-zu-Ende-Tests und Klärung des weiteren Vorgehens.</t>
        </is>
      </c>
      <c r="C32" s="45" t="inlineStr">
        <is>
          <t>0,25</t>
        </is>
      </c>
      <c r="D32" s="46" t="n"/>
      <c r="E32" s="46" t="n"/>
    </row>
    <row r="33" ht="58" customHeight="1" s="54">
      <c r="A33" s="43" t="inlineStr">
        <is>
          <t>3. Juli 2026</t>
        </is>
      </c>
      <c r="B33" s="44" t="inlineStr">
        <is>
          <t>Studie 2027: Auswertung eines erneuten Skripttests; Anpassung des Skripts für Test 2 über alle Varianten mit Vorder- und Rückseite.</t>
        </is>
      </c>
      <c r="C33" s="45" t="inlineStr">
        <is>
          <t>1,15</t>
        </is>
      </c>
      <c r="D33" s="46" t="n"/>
      <c r="E33" s="46" t="n"/>
    </row>
    <row r="34" ht="58" customHeight="1" s="54">
      <c r="A34" s="43" t="inlineStr">
        <is>
          <t>3. Juli 2026</t>
        </is>
      </c>
      <c r="B34" s="44" t="inlineStr">
        <is>
          <t>Studie 2027: Auswertung des zweiten erneuten Skripttests; weitere Anpassung des Skripts sowie Aufbereitung und Anpassung des Shape-Labs-Testpakets.</t>
        </is>
      </c>
      <c r="C34" s="45" t="inlineStr">
        <is>
          <t>1,30</t>
        </is>
      </c>
      <c r="D34" s="46" t="n"/>
      <c r="E34" s="46" t="n"/>
    </row>
    <row r="35" ht="58" customHeight="1" s="54">
      <c r="A35" s="43" t="inlineStr">
        <is>
          <t>3. Juli 2026</t>
        </is>
      </c>
      <c r="B35" s="44" t="inlineStr">
        <is>
          <t>Studie 2027: Begleitung des Ende-zu-Ende-Tests einschließlich Auswertung des aktuellen Stands und Aufbereitung eines Status-Updates.</t>
        </is>
      </c>
      <c r="C35" s="45" t="inlineStr">
        <is>
          <t>1,40</t>
        </is>
      </c>
      <c r="D35" s="46" t="n"/>
      <c r="E35" s="46" t="n"/>
    </row>
    <row r="36" ht="28" customHeight="1" s="54">
      <c r="A36" s="47" t="n"/>
      <c r="B36" s="47" t="inlineStr">
        <is>
          <t>Summe Stunden KW 27</t>
        </is>
      </c>
      <c r="C36" s="48" t="inlineStr">
        <is>
          <t>19,85</t>
        </is>
      </c>
      <c r="D36" s="46" t="n"/>
      <c r="E36" s="46" t="n"/>
    </row>
    <row r="37" ht="18" customHeight="1" s="54">
      <c r="A37" s="46" t="n"/>
      <c r="B37" s="46" t="n"/>
      <c r="C37" s="46" t="n"/>
      <c r="D37" s="46" t="n"/>
      <c r="E37" s="46" t="n"/>
    </row>
    <row r="38" ht="30" customHeight="1" s="54">
      <c r="A38" s="52" t="inlineStr">
        <is>
          <t>Gesamtsumme KW 26 + KW 27</t>
        </is>
      </c>
      <c r="B38" s="79" t="n"/>
      <c r="C38" s="49" t="inlineStr">
        <is>
          <t>35,85 Std.</t>
        </is>
      </c>
      <c r="D38" s="46" t="n"/>
      <c r="E38" s="46" t="n"/>
    </row>
    <row r="39" ht="18" customHeight="1" s="54">
      <c r="A39" s="46" t="n"/>
      <c r="B39" s="46" t="n"/>
      <c r="C39" s="46" t="n"/>
      <c r="D39" s="46" t="n"/>
      <c r="E39" s="46" t="n"/>
    </row>
    <row r="40" ht="18" customHeight="1" s="54">
      <c r="A40" s="46" t="n"/>
      <c r="B40" s="46" t="n"/>
      <c r="C40" s="46" t="n"/>
      <c r="D40" s="46" t="n"/>
      <c r="E40" s="46" t="n"/>
    </row>
    <row r="41" ht="18" customHeight="1" s="54">
      <c r="A41" s="46" t="n"/>
      <c r="B41" s="46" t="n"/>
      <c r="C41" s="46" t="n"/>
      <c r="D41" s="46" t="n"/>
      <c r="E41" s="46" t="n"/>
    </row>
    <row r="42" ht="18" customHeight="1" s="54">
      <c r="A42" s="46" t="n"/>
      <c r="B42" s="46" t="n"/>
      <c r="C42" s="46" t="n"/>
      <c r="D42" s="46" t="n"/>
      <c r="E42" s="46" t="n"/>
    </row>
    <row r="43" ht="18" customHeight="1" s="54">
      <c r="A43" s="46" t="n"/>
      <c r="B43" s="46" t="n"/>
      <c r="C43" s="46" t="n"/>
      <c r="D43" s="46" t="n"/>
      <c r="E43" s="46" t="n"/>
    </row>
    <row r="44" ht="18" customHeight="1" s="54">
      <c r="A44" s="46" t="n"/>
      <c r="B44" s="46" t="n"/>
      <c r="C44" s="46" t="n"/>
      <c r="D44" s="46" t="n"/>
      <c r="E44" s="46" t="n"/>
    </row>
    <row r="45" ht="18" customHeight="1" s="54">
      <c r="A45" s="46" t="n"/>
      <c r="B45" s="46" t="n"/>
      <c r="C45" s="46" t="n"/>
      <c r="D45" s="46" t="n"/>
      <c r="E45" s="46" t="n"/>
    </row>
    <row r="46" ht="18" customHeight="1" s="54">
      <c r="A46" s="46" t="n"/>
      <c r="B46" s="46" t="n"/>
      <c r="C46" s="46" t="n"/>
      <c r="D46" s="46" t="n"/>
      <c r="E46" s="46" t="n"/>
    </row>
    <row r="47" ht="18" customHeight="1" s="54">
      <c r="A47" s="46" t="n"/>
      <c r="B47" s="46" t="n"/>
      <c r="C47" s="46" t="n"/>
      <c r="D47" s="46" t="n"/>
      <c r="E47" s="46" t="n"/>
    </row>
    <row r="48" ht="18" customHeight="1" s="54">
      <c r="A48" s="46" t="n"/>
      <c r="B48" s="46" t="n"/>
      <c r="C48" s="46" t="n"/>
      <c r="D48" s="46" t="n"/>
      <c r="E48" s="46" t="n"/>
    </row>
    <row r="49" ht="18" customHeight="1" s="54">
      <c r="A49" s="46" t="n"/>
      <c r="B49" s="46" t="n"/>
      <c r="C49" s="46" t="n"/>
      <c r="D49" s="46" t="n"/>
      <c r="E49" s="46" t="n"/>
    </row>
    <row r="50" ht="18" customHeight="1" s="54">
      <c r="A50" s="78" t="n">
        <v>46209</v>
      </c>
      <c r="B50" s="46" t="n"/>
      <c r="C50" s="46" t="n"/>
      <c r="D50" s="46" t="inlineStr">
        <is>
          <t>Debrief mit Simone und Jule</t>
        </is>
      </c>
      <c r="E50" s="46" t="n">
        <v>1</v>
      </c>
    </row>
    <row r="51" ht="18" customHeight="1" s="54">
      <c r="A51" s="78" t="n">
        <v>46209</v>
      </c>
      <c r="B51" s="46" t="n"/>
      <c r="C51" s="46" t="n"/>
      <c r="D51" s="46" t="inlineStr">
        <is>
          <t>Neues Testpaket anhand des Debriefings + JSON Builder Tool für Jule und Simone zum selbst Erstellen der JSONS zukünftig inklusive Checks und Email Oputpu</t>
        </is>
      </c>
      <c r="E51" s="46" t="n">
        <v>3.4</v>
      </c>
    </row>
    <row r="52" ht="18" customHeight="1" s="54">
      <c r="A52" s="78" t="n">
        <v>46210</v>
      </c>
      <c r="B52" s="46" t="n"/>
      <c r="C52" s="46" t="n"/>
      <c r="D52" s="46" t="inlineStr">
        <is>
          <t xml:space="preserve">Kommunikation der nächsten Schritte an Jule und Simone, Auswertung Zeiten des Testlaufs, Statusupodate Studie 2027 </t>
        </is>
      </c>
      <c r="E52" s="46" t="n">
        <v>1.45</v>
      </c>
    </row>
    <row r="53" ht="18" customHeight="1" s="54">
      <c r="A53" s="78" t="n">
        <v>46210</v>
      </c>
      <c r="B53" s="46" t="n"/>
      <c r="C53" s="46" t="n"/>
      <c r="D53" s="46" t="inlineStr">
        <is>
          <t>Arbeit am JSON Builder Tool (Fehlerbehebung, Weitere Prüfungen und Optisch hübscher) + Weitere Runde Skript Optimierung und neue Testrunde mit JSON Builder und optimierten Skript</t>
        </is>
      </c>
      <c r="E53" s="46" t="n">
        <v>2.75</v>
      </c>
    </row>
    <row r="54" ht="18" customHeight="1" s="54">
      <c r="A54" s="46" t="n"/>
      <c r="B54" s="46" t="n"/>
      <c r="C54" s="46" t="n"/>
      <c r="D54" s="46" t="n"/>
      <c r="E54" s="46" t="n"/>
    </row>
    <row r="55" ht="18" customHeight="1" s="54">
      <c r="A55" s="46" t="n"/>
      <c r="B55" s="46" t="n"/>
      <c r="C55" s="46" t="n"/>
      <c r="D55" s="46" t="n"/>
      <c r="E55" s="46" t="n"/>
    </row>
    <row r="56" ht="18" customHeight="1" s="54">
      <c r="A56" s="46" t="n"/>
      <c r="B56" s="46" t="n"/>
      <c r="C56" s="46" t="n"/>
      <c r="D56" s="46" t="n"/>
      <c r="E56" s="46" t="n"/>
    </row>
    <row r="57" ht="18" customHeight="1" s="54">
      <c r="A57" s="46" t="n"/>
      <c r="B57" s="46" t="n"/>
      <c r="C57" s="46" t="n"/>
      <c r="D57" s="46" t="n"/>
      <c r="E57" s="46" t="n"/>
    </row>
    <row r="58" ht="18" customHeight="1" s="54">
      <c r="A58" s="46" t="n"/>
      <c r="B58" s="46" t="n"/>
      <c r="C58" s="46" t="n"/>
      <c r="D58" s="46" t="n"/>
      <c r="E58" s="46" t="n"/>
    </row>
    <row r="59" ht="18" customHeight="1" s="54">
      <c r="A59" s="46" t="n"/>
      <c r="B59" s="46" t="n"/>
      <c r="C59" s="46" t="n"/>
      <c r="D59" s="46" t="n"/>
      <c r="E59" s="46" t="n"/>
    </row>
    <row r="60" ht="18" customHeight="1" s="54">
      <c r="A60" s="46" t="n"/>
      <c r="B60" s="46" t="n"/>
      <c r="C60" s="46" t="n"/>
      <c r="D60" s="46" t="n"/>
      <c r="E60" s="46" t="n"/>
    </row>
    <row r="61" ht="18" customHeight="1" s="54">
      <c r="A61" s="46" t="n"/>
      <c r="B61" s="46" t="n"/>
      <c r="C61" s="46" t="n"/>
      <c r="D61" s="46" t="n"/>
      <c r="E61" s="46" t="n"/>
    </row>
    <row r="62" ht="18" customHeight="1" s="54">
      <c r="A62" s="46" t="n"/>
      <c r="B62" s="46" t="n"/>
      <c r="C62" s="46" t="n"/>
      <c r="D62" s="46" t="n"/>
      <c r="E62" s="46" t="n"/>
    </row>
    <row r="63" ht="18" customHeight="1" s="54">
      <c r="A63" s="46" t="n"/>
      <c r="B63" s="46" t="n"/>
      <c r="C63" s="46" t="n"/>
      <c r="D63" s="46" t="n"/>
      <c r="E63" s="46" t="n"/>
    </row>
    <row r="64" ht="18" customHeight="1" s="54">
      <c r="A64" s="46" t="n"/>
      <c r="B64" s="46" t="n"/>
      <c r="C64" s="46" t="n"/>
      <c r="D64" s="46" t="n"/>
      <c r="E64" s="46" t="n"/>
    </row>
    <row r="65" ht="18" customHeight="1" s="54">
      <c r="A65" s="46" t="n"/>
      <c r="B65" s="46" t="n"/>
      <c r="C65" s="46" t="n"/>
      <c r="D65" s="46" t="n"/>
      <c r="E65" s="46" t="n"/>
    </row>
    <row r="66" ht="18" customHeight="1" s="54">
      <c r="A66" s="46" t="n"/>
      <c r="B66" s="46" t="n"/>
      <c r="C66" s="46" t="n"/>
      <c r="D66" s="46" t="n"/>
      <c r="E66" s="46" t="n"/>
    </row>
    <row r="67" ht="18" customHeight="1" s="54">
      <c r="A67" s="46" t="n"/>
      <c r="B67" s="46" t="n"/>
      <c r="C67" s="46" t="n"/>
      <c r="D67" s="46" t="n"/>
      <c r="E67" s="46" t="n"/>
    </row>
    <row r="68" ht="18" customHeight="1" s="54">
      <c r="A68" s="46" t="n"/>
      <c r="B68" s="46" t="n"/>
      <c r="C68" s="46" t="n"/>
      <c r="D68" s="46" t="n"/>
      <c r="E68" s="46" t="n"/>
    </row>
    <row r="69" ht="18" customHeight="1" s="54">
      <c r="A69" s="46" t="n"/>
      <c r="B69" s="46" t="n"/>
      <c r="C69" s="46" t="n"/>
      <c r="D69" s="46" t="n"/>
      <c r="E69" s="46" t="n"/>
    </row>
    <row r="70" ht="18" customHeight="1" s="54">
      <c r="A70" s="46" t="n"/>
      <c r="B70" s="46" t="n"/>
      <c r="C70" s="46" t="n"/>
      <c r="D70" s="46" t="n"/>
      <c r="E70" s="46" t="n"/>
    </row>
    <row r="71" ht="18" customHeight="1" s="54">
      <c r="A71" s="46" t="n"/>
      <c r="B71" s="46" t="n"/>
      <c r="C71" s="46" t="n"/>
      <c r="D71" s="46" t="n"/>
      <c r="E71" s="46" t="n"/>
    </row>
    <row r="72" ht="18" customHeight="1" s="54">
      <c r="A72" s="46" t="n"/>
      <c r="B72" s="46" t="n"/>
      <c r="C72" s="46" t="n"/>
      <c r="D72" s="46" t="n"/>
      <c r="E72" s="46" t="n"/>
    </row>
    <row r="73" ht="18" customHeight="1" s="54">
      <c r="A73" s="46" t="n"/>
      <c r="B73" s="46" t="n"/>
      <c r="C73" s="46" t="n"/>
      <c r="D73" s="46" t="n"/>
      <c r="E73" s="46" t="n"/>
    </row>
    <row r="74" ht="18" customHeight="1" s="54">
      <c r="A74" s="46" t="n"/>
      <c r="B74" s="46" t="n"/>
      <c r="C74" s="46" t="n"/>
      <c r="D74" s="46" t="n"/>
      <c r="E74" s="46" t="n"/>
    </row>
    <row r="75" ht="18" customHeight="1" s="54">
      <c r="A75" s="46" t="n"/>
      <c r="B75" s="46" t="n"/>
      <c r="C75" s="46" t="n"/>
      <c r="D75" s="46" t="n"/>
      <c r="E75" s="46" t="n"/>
    </row>
    <row r="76" ht="18" customHeight="1" s="54">
      <c r="A76" s="46" t="n"/>
      <c r="B76" s="46" t="n"/>
      <c r="C76" s="46" t="n"/>
      <c r="D76" s="46" t="n"/>
      <c r="E76" s="46" t="n"/>
    </row>
    <row r="77" ht="18" customHeight="1" s="54">
      <c r="A77" s="46" t="n"/>
      <c r="B77" s="46" t="n"/>
      <c r="C77" s="46" t="n"/>
      <c r="D77" s="46" t="n"/>
      <c r="E77" s="46" t="n"/>
    </row>
    <row r="78" ht="18" customHeight="1" s="54">
      <c r="A78" s="46" t="n"/>
      <c r="B78" s="46" t="n"/>
      <c r="C78" s="46" t="n"/>
      <c r="D78" s="46" t="n"/>
      <c r="E78" s="46" t="n"/>
    </row>
    <row r="79" ht="18" customHeight="1" s="54">
      <c r="A79" s="46" t="n"/>
      <c r="B79" s="46" t="n"/>
      <c r="C79" s="46" t="n"/>
      <c r="D79" s="46" t="n"/>
      <c r="E79" s="46" t="n"/>
    </row>
    <row r="80" ht="18" customHeight="1" s="54">
      <c r="A80" s="46" t="n"/>
      <c r="B80" s="46" t="n"/>
      <c r="C80" s="46" t="n"/>
      <c r="D80" s="46" t="n"/>
      <c r="E80" s="46" t="n"/>
    </row>
  </sheetData>
  <mergeCells count="3">
    <mergeCell ref="A21:B21"/>
    <mergeCell ref="A2:B2"/>
    <mergeCell ref="A3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style="54" min="1" max="1"/>
    <col width="18" customWidth="1" style="54" min="2" max="2"/>
    <col width="18" customWidth="1" style="54" min="3" max="3"/>
    <col width="18" customWidth="1" style="54" min="4" max="4"/>
    <col width="4" customWidth="1" style="54" min="5" max="5"/>
  </cols>
  <sheetData>
    <row r="1" ht="34" customHeight="1" s="54">
      <c r="A1" s="80" t="inlineStr">
        <is>
          <t>Budgetübersicht Zeit</t>
        </is>
      </c>
    </row>
    <row r="3">
      <c r="A3" s="81" t="inlineStr">
        <is>
          <t>Budget-Eingaben</t>
        </is>
      </c>
    </row>
    <row r="4">
      <c r="A4" s="82" t="inlineStr">
        <is>
          <t>Monatsbudget (Std.)</t>
        </is>
      </c>
      <c r="B4" s="83">
        <f>IF(Einstellungen!B14="","",Einstellungen!B14)</f>
        <v/>
      </c>
    </row>
    <row r="5">
      <c r="A5" s="82" t="inlineStr">
        <is>
          <t>KW-Budget (Std.)</t>
        </is>
      </c>
      <c r="B5" s="83">
        <f>IF(Einstellungen!B15="","",Einstellungen!B15)</f>
        <v/>
      </c>
    </row>
    <row r="7">
      <c r="A7" s="84" t="inlineStr">
        <is>
          <t>Monat</t>
        </is>
      </c>
      <c r="B7" s="84" t="inlineStr">
        <is>
          <t>Gebucht (Std.)</t>
        </is>
      </c>
      <c r="C7" s="84" t="inlineStr">
        <is>
          <t>Budget (Std.)</t>
        </is>
      </c>
      <c r="D7" s="84" t="inlineStr">
        <is>
          <t>Offen (Std.)</t>
        </is>
      </c>
    </row>
    <row r="8">
      <c r="A8" s="97">
        <f>DATE(2026,1,1)</f>
        <v/>
      </c>
      <c r="B8" s="86">
        <f>SUMIFS(Datenbasis!$E$13:$E$211,Datenbasis!$A$13:$A$211,"&gt;="&amp;A8,Datenbasis!$A$13:$A$211,"&lt;"&amp;EDATE(A8,1))</f>
        <v/>
      </c>
      <c r="C8" s="86">
        <f>IF(Einstellungen!$B$14="","",Einstellungen!$B$14)</f>
        <v/>
      </c>
      <c r="D8" s="87">
        <f>IF(C8="","",C8-B8)</f>
        <v/>
      </c>
    </row>
    <row r="9">
      <c r="A9" s="97">
        <f>DATE(2026,2,1)</f>
        <v/>
      </c>
      <c r="B9" s="86">
        <f>SUMIFS(Datenbasis!$E$13:$E$211,Datenbasis!$A$13:$A$211,"&gt;="&amp;A9,Datenbasis!$A$13:$A$211,"&lt;"&amp;EDATE(A9,1))</f>
        <v/>
      </c>
      <c r="C9" s="86">
        <f>IF(Einstellungen!$B$14="","",Einstellungen!$B$14)</f>
        <v/>
      </c>
      <c r="D9" s="87">
        <f>IF(C9="","",C9-B9)</f>
        <v/>
      </c>
    </row>
    <row r="10">
      <c r="A10" s="97">
        <f>DATE(2026,3,1)</f>
        <v/>
      </c>
      <c r="B10" s="86">
        <f>SUMIFS(Datenbasis!$E$13:$E$211,Datenbasis!$A$13:$A$211,"&gt;="&amp;A10,Datenbasis!$A$13:$A$211,"&lt;"&amp;EDATE(A10,1))</f>
        <v/>
      </c>
      <c r="C10" s="86">
        <f>IF(Einstellungen!$B$14="","",Einstellungen!$B$14)</f>
        <v/>
      </c>
      <c r="D10" s="87">
        <f>IF(C10="","",C10-B10)</f>
        <v/>
      </c>
    </row>
    <row r="11">
      <c r="A11" s="97">
        <f>DATE(2026,4,1)</f>
        <v/>
      </c>
      <c r="B11" s="86">
        <f>SUMIFS(Datenbasis!$E$13:$E$211,Datenbasis!$A$13:$A$211,"&gt;="&amp;A11,Datenbasis!$A$13:$A$211,"&lt;"&amp;EDATE(A11,1))</f>
        <v/>
      </c>
      <c r="C11" s="86">
        <f>IF(Einstellungen!$B$14="","",Einstellungen!$B$14)</f>
        <v/>
      </c>
      <c r="D11" s="87">
        <f>IF(C11="","",C11-B11)</f>
        <v/>
      </c>
    </row>
    <row r="12">
      <c r="A12" s="97">
        <f>DATE(2026,5,1)</f>
        <v/>
      </c>
      <c r="B12" s="86">
        <f>SUMIFS(Datenbasis!$E$13:$E$211,Datenbasis!$A$13:$A$211,"&gt;="&amp;A12,Datenbasis!$A$13:$A$211,"&lt;"&amp;EDATE(A12,1))</f>
        <v/>
      </c>
      <c r="C12" s="86">
        <f>IF(Einstellungen!$B$14="","",Einstellungen!$B$14)</f>
        <v/>
      </c>
      <c r="D12" s="87">
        <f>IF(C12="","",C12-B12)</f>
        <v/>
      </c>
    </row>
    <row r="13">
      <c r="A13" s="97">
        <f>DATE(2026,6,1)</f>
        <v/>
      </c>
      <c r="B13" s="86">
        <f>SUMIFS(Datenbasis!$E$13:$E$211,Datenbasis!$A$13:$A$211,"&gt;="&amp;A13,Datenbasis!$A$13:$A$211,"&lt;"&amp;EDATE(A13,1))</f>
        <v/>
      </c>
      <c r="C13" s="86">
        <f>IF(Einstellungen!$B$14="","",Einstellungen!$B$14)</f>
        <v/>
      </c>
      <c r="D13" s="87">
        <f>IF(C13="","",C13-B13)</f>
        <v/>
      </c>
    </row>
    <row r="14">
      <c r="A14" s="97">
        <f>DATE(2026,7,1)</f>
        <v/>
      </c>
      <c r="B14" s="86">
        <f>SUMIFS(Datenbasis!$E$13:$E$211,Datenbasis!$A$13:$A$211,"&gt;="&amp;A14,Datenbasis!$A$13:$A$211,"&lt;"&amp;EDATE(A14,1))</f>
        <v/>
      </c>
      <c r="C14" s="86">
        <f>IF(Einstellungen!$B$14="","",Einstellungen!$B$14)</f>
        <v/>
      </c>
      <c r="D14" s="87">
        <f>IF(C14="","",C14-B14)</f>
        <v/>
      </c>
    </row>
    <row r="15">
      <c r="A15" s="97">
        <f>DATE(2026,8,1)</f>
        <v/>
      </c>
      <c r="B15" s="86">
        <f>SUMIFS(Datenbasis!$E$13:$E$211,Datenbasis!$A$13:$A$211,"&gt;="&amp;A15,Datenbasis!$A$13:$A$211,"&lt;"&amp;EDATE(A15,1))</f>
        <v/>
      </c>
      <c r="C15" s="86">
        <f>IF(Einstellungen!$B$14="","",Einstellungen!$B$14)</f>
        <v/>
      </c>
      <c r="D15" s="87">
        <f>IF(C15="","",C15-B15)</f>
        <v/>
      </c>
    </row>
    <row r="16">
      <c r="A16" s="97">
        <f>DATE(2026,9,1)</f>
        <v/>
      </c>
      <c r="B16" s="86">
        <f>SUMIFS(Datenbasis!$E$13:$E$211,Datenbasis!$A$13:$A$211,"&gt;="&amp;A16,Datenbasis!$A$13:$A$211,"&lt;"&amp;EDATE(A16,1))</f>
        <v/>
      </c>
      <c r="C16" s="86">
        <f>IF(Einstellungen!$B$14="","",Einstellungen!$B$14)</f>
        <v/>
      </c>
      <c r="D16" s="87">
        <f>IF(C16="","",C16-B16)</f>
        <v/>
      </c>
    </row>
    <row r="17">
      <c r="A17" s="97">
        <f>DATE(2026,10,1)</f>
        <v/>
      </c>
      <c r="B17" s="86">
        <f>SUMIFS(Datenbasis!$E$13:$E$211,Datenbasis!$A$13:$A$211,"&gt;="&amp;A17,Datenbasis!$A$13:$A$211,"&lt;"&amp;EDATE(A17,1))</f>
        <v/>
      </c>
      <c r="C17" s="86">
        <f>IF(Einstellungen!$B$14="","",Einstellungen!$B$14)</f>
        <v/>
      </c>
      <c r="D17" s="87">
        <f>IF(C17="","",C17-B17)</f>
        <v/>
      </c>
    </row>
    <row r="18">
      <c r="A18" s="97">
        <f>DATE(2026,11,1)</f>
        <v/>
      </c>
      <c r="B18" s="86">
        <f>SUMIFS(Datenbasis!$E$13:$E$211,Datenbasis!$A$13:$A$211,"&gt;="&amp;A18,Datenbasis!$A$13:$A$211,"&lt;"&amp;EDATE(A18,1))</f>
        <v/>
      </c>
      <c r="C18" s="86">
        <f>IF(Einstellungen!$B$14="","",Einstellungen!$B$14)</f>
        <v/>
      </c>
      <c r="D18" s="87">
        <f>IF(C18="","",C18-B18)</f>
        <v/>
      </c>
    </row>
    <row r="19">
      <c r="A19" s="97">
        <f>DATE(2026,12,1)</f>
        <v/>
      </c>
      <c r="B19" s="86">
        <f>SUMIFS(Datenbasis!$E$13:$E$211,Datenbasis!$A$13:$A$211,"&gt;="&amp;A19,Datenbasis!$A$13:$A$211,"&lt;"&amp;EDATE(A19,1))</f>
        <v/>
      </c>
      <c r="C19" s="86">
        <f>IF(Einstellungen!$B$14="","",Einstellungen!$B$14)</f>
        <v/>
      </c>
      <c r="D19" s="87">
        <f>IF(C19="","",C19-B19)</f>
        <v/>
      </c>
    </row>
    <row r="22">
      <c r="A22" s="84" t="inlineStr">
        <is>
          <t>KW</t>
        </is>
      </c>
      <c r="B22" s="84" t="inlineStr">
        <is>
          <t>Gebucht (Std.)</t>
        </is>
      </c>
      <c r="C22" s="84" t="inlineStr">
        <is>
          <t>Budget (Std.)</t>
        </is>
      </c>
      <c r="D22" s="84" t="inlineStr">
        <is>
          <t>Offen (Std.)</t>
        </is>
      </c>
    </row>
    <row r="23">
      <c r="A23" s="88" t="n">
        <v>1</v>
      </c>
      <c r="B23" s="86">
        <f>IF(SUMIFS(Datenbasis!$E$13:$E$211,Datenbasis!$H$13:$H$211,A23)=0,"",SUMIFS(Datenbasis!$E$13:$E$211,Datenbasis!$H$13:$H$211,A23))</f>
        <v/>
      </c>
      <c r="C23" s="86">
        <f>IF(OR(B23="",Einstellungen!$B$15=""),"",Einstellungen!$B$15)</f>
        <v/>
      </c>
      <c r="D23" s="87">
        <f>IF(C23="","",C23-B23)</f>
        <v/>
      </c>
    </row>
    <row r="24">
      <c r="A24" s="88" t="n">
        <v>2</v>
      </c>
      <c r="B24" s="86">
        <f>IF(SUMIFS(Datenbasis!$E$13:$E$211,Datenbasis!$H$13:$H$211,A24)=0,"",SUMIFS(Datenbasis!$E$13:$E$211,Datenbasis!$H$13:$H$211,A24))</f>
        <v/>
      </c>
      <c r="C24" s="86">
        <f>IF(OR(B24="",Einstellungen!$B$15=""),"",Einstellungen!$B$15)</f>
        <v/>
      </c>
      <c r="D24" s="87">
        <f>IF(C24="","",C24-B24)</f>
        <v/>
      </c>
    </row>
    <row r="25">
      <c r="A25" s="88" t="n">
        <v>3</v>
      </c>
      <c r="B25" s="86">
        <f>IF(SUMIFS(Datenbasis!$E$13:$E$211,Datenbasis!$H$13:$H$211,A25)=0,"",SUMIFS(Datenbasis!$E$13:$E$211,Datenbasis!$H$13:$H$211,A25))</f>
        <v/>
      </c>
      <c r="C25" s="86">
        <f>IF(OR(B25="",Einstellungen!$B$15=""),"",Einstellungen!$B$15)</f>
        <v/>
      </c>
      <c r="D25" s="87">
        <f>IF(C25="","",C25-B25)</f>
        <v/>
      </c>
    </row>
    <row r="26">
      <c r="A26" s="88" t="n">
        <v>4</v>
      </c>
      <c r="B26" s="86">
        <f>IF(SUMIFS(Datenbasis!$E$13:$E$211,Datenbasis!$H$13:$H$211,A26)=0,"",SUMIFS(Datenbasis!$E$13:$E$211,Datenbasis!$H$13:$H$211,A26))</f>
        <v/>
      </c>
      <c r="C26" s="86">
        <f>IF(OR(B26="",Einstellungen!$B$15=""),"",Einstellungen!$B$15)</f>
        <v/>
      </c>
      <c r="D26" s="87">
        <f>IF(C26="","",C26-B26)</f>
        <v/>
      </c>
    </row>
    <row r="27">
      <c r="A27" s="88" t="n">
        <v>5</v>
      </c>
      <c r="B27" s="86">
        <f>IF(SUMIFS(Datenbasis!$E$13:$E$211,Datenbasis!$H$13:$H$211,A27)=0,"",SUMIFS(Datenbasis!$E$13:$E$211,Datenbasis!$H$13:$H$211,A27))</f>
        <v/>
      </c>
      <c r="C27" s="86">
        <f>IF(OR(B27="",Einstellungen!$B$15=""),"",Einstellungen!$B$15)</f>
        <v/>
      </c>
      <c r="D27" s="87">
        <f>IF(C27="","",C27-B27)</f>
        <v/>
      </c>
    </row>
    <row r="28">
      <c r="A28" s="88" t="n">
        <v>6</v>
      </c>
      <c r="B28" s="86">
        <f>IF(SUMIFS(Datenbasis!$E$13:$E$211,Datenbasis!$H$13:$H$211,A28)=0,"",SUMIFS(Datenbasis!$E$13:$E$211,Datenbasis!$H$13:$H$211,A28))</f>
        <v/>
      </c>
      <c r="C28" s="86">
        <f>IF(OR(B28="",Einstellungen!$B$15=""),"",Einstellungen!$B$15)</f>
        <v/>
      </c>
      <c r="D28" s="87">
        <f>IF(C28="","",C28-B28)</f>
        <v/>
      </c>
    </row>
    <row r="29">
      <c r="A29" s="88" t="n">
        <v>7</v>
      </c>
      <c r="B29" s="86">
        <f>IF(SUMIFS(Datenbasis!$E$13:$E$211,Datenbasis!$H$13:$H$211,A29)=0,"",SUMIFS(Datenbasis!$E$13:$E$211,Datenbasis!$H$13:$H$211,A29))</f>
        <v/>
      </c>
      <c r="C29" s="86">
        <f>IF(OR(B29="",Einstellungen!$B$15=""),"",Einstellungen!$B$15)</f>
        <v/>
      </c>
      <c r="D29" s="87">
        <f>IF(C29="","",C29-B29)</f>
        <v/>
      </c>
    </row>
    <row r="30">
      <c r="A30" s="88" t="n">
        <v>8</v>
      </c>
      <c r="B30" s="86">
        <f>IF(SUMIFS(Datenbasis!$E$13:$E$211,Datenbasis!$H$13:$H$211,A30)=0,"",SUMIFS(Datenbasis!$E$13:$E$211,Datenbasis!$H$13:$H$211,A30))</f>
        <v/>
      </c>
      <c r="C30" s="86">
        <f>IF(OR(B30="",Einstellungen!$B$15=""),"",Einstellungen!$B$15)</f>
        <v/>
      </c>
      <c r="D30" s="87">
        <f>IF(C30="","",C30-B30)</f>
        <v/>
      </c>
    </row>
    <row r="31">
      <c r="A31" s="88" t="n">
        <v>9</v>
      </c>
      <c r="B31" s="86">
        <f>IF(SUMIFS(Datenbasis!$E$13:$E$211,Datenbasis!$H$13:$H$211,A31)=0,"",SUMIFS(Datenbasis!$E$13:$E$211,Datenbasis!$H$13:$H$211,A31))</f>
        <v/>
      </c>
      <c r="C31" s="86">
        <f>IF(OR(B31="",Einstellungen!$B$15=""),"",Einstellungen!$B$15)</f>
        <v/>
      </c>
      <c r="D31" s="87">
        <f>IF(C31="","",C31-B31)</f>
        <v/>
      </c>
    </row>
    <row r="32">
      <c r="A32" s="88" t="n">
        <v>10</v>
      </c>
      <c r="B32" s="86">
        <f>IF(SUMIFS(Datenbasis!$E$13:$E$211,Datenbasis!$H$13:$H$211,A32)=0,"",SUMIFS(Datenbasis!$E$13:$E$211,Datenbasis!$H$13:$H$211,A32))</f>
        <v/>
      </c>
      <c r="C32" s="86">
        <f>IF(OR(B32="",Einstellungen!$B$15=""),"",Einstellungen!$B$15)</f>
        <v/>
      </c>
      <c r="D32" s="87">
        <f>IF(C32="","",C32-B32)</f>
        <v/>
      </c>
    </row>
    <row r="33">
      <c r="A33" s="88" t="n">
        <v>11</v>
      </c>
      <c r="B33" s="86">
        <f>IF(SUMIFS(Datenbasis!$E$13:$E$211,Datenbasis!$H$13:$H$211,A33)=0,"",SUMIFS(Datenbasis!$E$13:$E$211,Datenbasis!$H$13:$H$211,A33))</f>
        <v/>
      </c>
      <c r="C33" s="86">
        <f>IF(OR(B33="",Einstellungen!$B$15=""),"",Einstellungen!$B$15)</f>
        <v/>
      </c>
      <c r="D33" s="87">
        <f>IF(C33="","",C33-B33)</f>
        <v/>
      </c>
    </row>
    <row r="34">
      <c r="A34" s="88" t="n">
        <v>12</v>
      </c>
      <c r="B34" s="86">
        <f>IF(SUMIFS(Datenbasis!$E$13:$E$211,Datenbasis!$H$13:$H$211,A34)=0,"",SUMIFS(Datenbasis!$E$13:$E$211,Datenbasis!$H$13:$H$211,A34))</f>
        <v/>
      </c>
      <c r="C34" s="86">
        <f>IF(OR(B34="",Einstellungen!$B$15=""),"",Einstellungen!$B$15)</f>
        <v/>
      </c>
      <c r="D34" s="87">
        <f>IF(C34="","",C34-B34)</f>
        <v/>
      </c>
    </row>
    <row r="35">
      <c r="A35" s="88" t="n">
        <v>13</v>
      </c>
      <c r="B35" s="86">
        <f>IF(SUMIFS(Datenbasis!$E$13:$E$211,Datenbasis!$H$13:$H$211,A35)=0,"",SUMIFS(Datenbasis!$E$13:$E$211,Datenbasis!$H$13:$H$211,A35))</f>
        <v/>
      </c>
      <c r="C35" s="86">
        <f>IF(OR(B35="",Einstellungen!$B$15=""),"",Einstellungen!$B$15)</f>
        <v/>
      </c>
      <c r="D35" s="87">
        <f>IF(C35="","",C35-B35)</f>
        <v/>
      </c>
    </row>
    <row r="36">
      <c r="A36" s="88" t="n">
        <v>14</v>
      </c>
      <c r="B36" s="86">
        <f>IF(SUMIFS(Datenbasis!$E$13:$E$211,Datenbasis!$H$13:$H$211,A36)=0,"",SUMIFS(Datenbasis!$E$13:$E$211,Datenbasis!$H$13:$H$211,A36))</f>
        <v/>
      </c>
      <c r="C36" s="86">
        <f>IF(OR(B36="",Einstellungen!$B$15=""),"",Einstellungen!$B$15)</f>
        <v/>
      </c>
      <c r="D36" s="87">
        <f>IF(C36="","",C36-B36)</f>
        <v/>
      </c>
    </row>
    <row r="37">
      <c r="A37" s="88" t="n">
        <v>15</v>
      </c>
      <c r="B37" s="86">
        <f>IF(SUMIFS(Datenbasis!$E$13:$E$211,Datenbasis!$H$13:$H$211,A37)=0,"",SUMIFS(Datenbasis!$E$13:$E$211,Datenbasis!$H$13:$H$211,A37))</f>
        <v/>
      </c>
      <c r="C37" s="86">
        <f>IF(OR(B37="",Einstellungen!$B$15=""),"",Einstellungen!$B$15)</f>
        <v/>
      </c>
      <c r="D37" s="87">
        <f>IF(C37="","",C37-B37)</f>
        <v/>
      </c>
    </row>
    <row r="38">
      <c r="A38" s="88" t="n">
        <v>16</v>
      </c>
      <c r="B38" s="86">
        <f>IF(SUMIFS(Datenbasis!$E$13:$E$211,Datenbasis!$H$13:$H$211,A38)=0,"",SUMIFS(Datenbasis!$E$13:$E$211,Datenbasis!$H$13:$H$211,A38))</f>
        <v/>
      </c>
      <c r="C38" s="86">
        <f>IF(OR(B38="",Einstellungen!$B$15=""),"",Einstellungen!$B$15)</f>
        <v/>
      </c>
      <c r="D38" s="87">
        <f>IF(C38="","",C38-B38)</f>
        <v/>
      </c>
    </row>
    <row r="39">
      <c r="A39" s="88" t="n">
        <v>17</v>
      </c>
      <c r="B39" s="86">
        <f>IF(SUMIFS(Datenbasis!$E$13:$E$211,Datenbasis!$H$13:$H$211,A39)=0,"",SUMIFS(Datenbasis!$E$13:$E$211,Datenbasis!$H$13:$H$211,A39))</f>
        <v/>
      </c>
      <c r="C39" s="86">
        <f>IF(OR(B39="",Einstellungen!$B$15=""),"",Einstellungen!$B$15)</f>
        <v/>
      </c>
      <c r="D39" s="87">
        <f>IF(C39="","",C39-B39)</f>
        <v/>
      </c>
    </row>
    <row r="40">
      <c r="A40" s="88" t="n">
        <v>18</v>
      </c>
      <c r="B40" s="86">
        <f>IF(SUMIFS(Datenbasis!$E$13:$E$211,Datenbasis!$H$13:$H$211,A40)=0,"",SUMIFS(Datenbasis!$E$13:$E$211,Datenbasis!$H$13:$H$211,A40))</f>
        <v/>
      </c>
      <c r="C40" s="86">
        <f>IF(OR(B40="",Einstellungen!$B$15=""),"",Einstellungen!$B$15)</f>
        <v/>
      </c>
      <c r="D40" s="87">
        <f>IF(C40="","",C40-B40)</f>
        <v/>
      </c>
    </row>
    <row r="41">
      <c r="A41" s="88" t="n">
        <v>19</v>
      </c>
      <c r="B41" s="86">
        <f>IF(SUMIFS(Datenbasis!$E$13:$E$211,Datenbasis!$H$13:$H$211,A41)=0,"",SUMIFS(Datenbasis!$E$13:$E$211,Datenbasis!$H$13:$H$211,A41))</f>
        <v/>
      </c>
      <c r="C41" s="86">
        <f>IF(OR(B41="",Einstellungen!$B$15=""),"",Einstellungen!$B$15)</f>
        <v/>
      </c>
      <c r="D41" s="87">
        <f>IF(C41="","",C41-B41)</f>
        <v/>
      </c>
    </row>
    <row r="42">
      <c r="A42" s="88" t="n">
        <v>20</v>
      </c>
      <c r="B42" s="86">
        <f>IF(SUMIFS(Datenbasis!$E$13:$E$211,Datenbasis!$H$13:$H$211,A42)=0,"",SUMIFS(Datenbasis!$E$13:$E$211,Datenbasis!$H$13:$H$211,A42))</f>
        <v/>
      </c>
      <c r="C42" s="86">
        <f>IF(OR(B42="",Einstellungen!$B$15=""),"",Einstellungen!$B$15)</f>
        <v/>
      </c>
      <c r="D42" s="87">
        <f>IF(C42="","",C42-B42)</f>
        <v/>
      </c>
    </row>
    <row r="43">
      <c r="A43" s="88" t="n">
        <v>21</v>
      </c>
      <c r="B43" s="86">
        <f>IF(SUMIFS(Datenbasis!$E$13:$E$211,Datenbasis!$H$13:$H$211,A43)=0,"",SUMIFS(Datenbasis!$E$13:$E$211,Datenbasis!$H$13:$H$211,A43))</f>
        <v/>
      </c>
      <c r="C43" s="86">
        <f>IF(OR(B43="",Einstellungen!$B$15=""),"",Einstellungen!$B$15)</f>
        <v/>
      </c>
      <c r="D43" s="87">
        <f>IF(C43="","",C43-B43)</f>
        <v/>
      </c>
    </row>
    <row r="44">
      <c r="A44" s="88" t="n">
        <v>22</v>
      </c>
      <c r="B44" s="86">
        <f>IF(SUMIFS(Datenbasis!$E$13:$E$211,Datenbasis!$H$13:$H$211,A44)=0,"",SUMIFS(Datenbasis!$E$13:$E$211,Datenbasis!$H$13:$H$211,A44))</f>
        <v/>
      </c>
      <c r="C44" s="86">
        <f>IF(OR(B44="",Einstellungen!$B$15=""),"",Einstellungen!$B$15)</f>
        <v/>
      </c>
      <c r="D44" s="87">
        <f>IF(C44="","",C44-B44)</f>
        <v/>
      </c>
    </row>
    <row r="45">
      <c r="A45" s="88" t="n">
        <v>23</v>
      </c>
      <c r="B45" s="86">
        <f>IF(SUMIFS(Datenbasis!$E$13:$E$211,Datenbasis!$H$13:$H$211,A45)=0,"",SUMIFS(Datenbasis!$E$13:$E$211,Datenbasis!$H$13:$H$211,A45))</f>
        <v/>
      </c>
      <c r="C45" s="86">
        <f>IF(OR(B45="",Einstellungen!$B$15=""),"",Einstellungen!$B$15)</f>
        <v/>
      </c>
      <c r="D45" s="87">
        <f>IF(C45="","",C45-B45)</f>
        <v/>
      </c>
    </row>
    <row r="46">
      <c r="A46" s="88" t="n">
        <v>24</v>
      </c>
      <c r="B46" s="86">
        <f>IF(SUMIFS(Datenbasis!$E$13:$E$211,Datenbasis!$H$13:$H$211,A46)=0,"",SUMIFS(Datenbasis!$E$13:$E$211,Datenbasis!$H$13:$H$211,A46))</f>
        <v/>
      </c>
      <c r="C46" s="86">
        <f>IF(OR(B46="",Einstellungen!$B$15=""),"",Einstellungen!$B$15)</f>
        <v/>
      </c>
      <c r="D46" s="87">
        <f>IF(C46="","",C46-B46)</f>
        <v/>
      </c>
    </row>
    <row r="47">
      <c r="A47" s="88" t="n">
        <v>25</v>
      </c>
      <c r="B47" s="86">
        <f>IF(SUMIFS(Datenbasis!$E$13:$E$211,Datenbasis!$H$13:$H$211,A47)=0,"",SUMIFS(Datenbasis!$E$13:$E$211,Datenbasis!$H$13:$H$211,A47))</f>
        <v/>
      </c>
      <c r="C47" s="86">
        <f>IF(OR(B47="",Einstellungen!$B$15=""),"",Einstellungen!$B$15)</f>
        <v/>
      </c>
      <c r="D47" s="87">
        <f>IF(C47="","",C47-B47)</f>
        <v/>
      </c>
    </row>
    <row r="48">
      <c r="A48" s="88" t="n">
        <v>26</v>
      </c>
      <c r="B48" s="86">
        <f>IF(SUMIFS(Datenbasis!$E$13:$E$211,Datenbasis!$H$13:$H$211,A48)=0,"",SUMIFS(Datenbasis!$E$13:$E$211,Datenbasis!$H$13:$H$211,A48))</f>
        <v/>
      </c>
      <c r="C48" s="86">
        <f>IF(OR(B48="",Einstellungen!$B$15=""),"",Einstellungen!$B$15)</f>
        <v/>
      </c>
      <c r="D48" s="87">
        <f>IF(C48="","",C48-B48)</f>
        <v/>
      </c>
    </row>
    <row r="49">
      <c r="A49" s="88" t="n">
        <v>27</v>
      </c>
      <c r="B49" s="86">
        <f>IF(SUMIFS(Datenbasis!$E$13:$E$211,Datenbasis!$H$13:$H$211,A49)=0,"",SUMIFS(Datenbasis!$E$13:$E$211,Datenbasis!$H$13:$H$211,A49))</f>
        <v/>
      </c>
      <c r="C49" s="86">
        <f>IF(OR(B49="",Einstellungen!$B$15=""),"",Einstellungen!$B$15)</f>
        <v/>
      </c>
      <c r="D49" s="87">
        <f>IF(C49="","",C49-B49)</f>
        <v/>
      </c>
    </row>
    <row r="50">
      <c r="A50" s="88" t="n">
        <v>28</v>
      </c>
      <c r="B50" s="86">
        <f>IF(SUMIFS(Datenbasis!$E$13:$E$211,Datenbasis!$H$13:$H$211,A50)=0,"",SUMIFS(Datenbasis!$E$13:$E$211,Datenbasis!$H$13:$H$211,A50))</f>
        <v/>
      </c>
      <c r="C50" s="86">
        <f>IF(OR(B50="",Einstellungen!$B$15=""),"",Einstellungen!$B$15)</f>
        <v/>
      </c>
      <c r="D50" s="87">
        <f>IF(C50="","",C50-B50)</f>
        <v/>
      </c>
    </row>
    <row r="51">
      <c r="A51" s="88" t="n">
        <v>29</v>
      </c>
      <c r="B51" s="86">
        <f>IF(SUMIFS(Datenbasis!$E$13:$E$211,Datenbasis!$H$13:$H$211,A51)=0,"",SUMIFS(Datenbasis!$E$13:$E$211,Datenbasis!$H$13:$H$211,A51))</f>
        <v/>
      </c>
      <c r="C51" s="86">
        <f>IF(OR(B51="",Einstellungen!$B$15=""),"",Einstellungen!$B$15)</f>
        <v/>
      </c>
      <c r="D51" s="87">
        <f>IF(C51="","",C51-B51)</f>
        <v/>
      </c>
    </row>
    <row r="52">
      <c r="A52" s="88" t="n">
        <v>30</v>
      </c>
      <c r="B52" s="86">
        <f>IF(SUMIFS(Datenbasis!$E$13:$E$211,Datenbasis!$H$13:$H$211,A52)=0,"",SUMIFS(Datenbasis!$E$13:$E$211,Datenbasis!$H$13:$H$211,A52))</f>
        <v/>
      </c>
      <c r="C52" s="86">
        <f>IF(OR(B52="",Einstellungen!$B$15=""),"",Einstellungen!$B$15)</f>
        <v/>
      </c>
      <c r="D52" s="87">
        <f>IF(C52="","",C52-B52)</f>
        <v/>
      </c>
    </row>
    <row r="53">
      <c r="A53" s="88" t="n">
        <v>31</v>
      </c>
      <c r="B53" s="86">
        <f>IF(SUMIFS(Datenbasis!$E$13:$E$211,Datenbasis!$H$13:$H$211,A53)=0,"",SUMIFS(Datenbasis!$E$13:$E$211,Datenbasis!$H$13:$H$211,A53))</f>
        <v/>
      </c>
      <c r="C53" s="86">
        <f>IF(OR(B53="",Einstellungen!$B$15=""),"",Einstellungen!$B$15)</f>
        <v/>
      </c>
      <c r="D53" s="87">
        <f>IF(C53="","",C53-B53)</f>
        <v/>
      </c>
    </row>
    <row r="54">
      <c r="A54" s="88" t="n">
        <v>32</v>
      </c>
      <c r="B54" s="86">
        <f>IF(SUMIFS(Datenbasis!$E$13:$E$211,Datenbasis!$H$13:$H$211,A54)=0,"",SUMIFS(Datenbasis!$E$13:$E$211,Datenbasis!$H$13:$H$211,A54))</f>
        <v/>
      </c>
      <c r="C54" s="86">
        <f>IF(OR(B54="",Einstellungen!$B$15=""),"",Einstellungen!$B$15)</f>
        <v/>
      </c>
      <c r="D54" s="87">
        <f>IF(C54="","",C54-B54)</f>
        <v/>
      </c>
    </row>
    <row r="55">
      <c r="A55" s="88" t="n">
        <v>33</v>
      </c>
      <c r="B55" s="86">
        <f>IF(SUMIFS(Datenbasis!$E$13:$E$211,Datenbasis!$H$13:$H$211,A55)=0,"",SUMIFS(Datenbasis!$E$13:$E$211,Datenbasis!$H$13:$H$211,A55))</f>
        <v/>
      </c>
      <c r="C55" s="86">
        <f>IF(OR(B55="",Einstellungen!$B$15=""),"",Einstellungen!$B$15)</f>
        <v/>
      </c>
      <c r="D55" s="87">
        <f>IF(C55="","",C55-B55)</f>
        <v/>
      </c>
    </row>
    <row r="56">
      <c r="A56" s="88" t="n">
        <v>34</v>
      </c>
      <c r="B56" s="86">
        <f>IF(SUMIFS(Datenbasis!$E$13:$E$211,Datenbasis!$H$13:$H$211,A56)=0,"",SUMIFS(Datenbasis!$E$13:$E$211,Datenbasis!$H$13:$H$211,A56))</f>
        <v/>
      </c>
      <c r="C56" s="86">
        <f>IF(OR(B56="",Einstellungen!$B$15=""),"",Einstellungen!$B$15)</f>
        <v/>
      </c>
      <c r="D56" s="87">
        <f>IF(C56="","",C56-B56)</f>
        <v/>
      </c>
    </row>
    <row r="57">
      <c r="A57" s="88" t="n">
        <v>35</v>
      </c>
      <c r="B57" s="86">
        <f>IF(SUMIFS(Datenbasis!$E$13:$E$211,Datenbasis!$H$13:$H$211,A57)=0,"",SUMIFS(Datenbasis!$E$13:$E$211,Datenbasis!$H$13:$H$211,A57))</f>
        <v/>
      </c>
      <c r="C57" s="86">
        <f>IF(OR(B57="",Einstellungen!$B$15=""),"",Einstellungen!$B$15)</f>
        <v/>
      </c>
      <c r="D57" s="87">
        <f>IF(C57="","",C57-B57)</f>
        <v/>
      </c>
    </row>
    <row r="58">
      <c r="A58" s="88" t="n">
        <v>36</v>
      </c>
      <c r="B58" s="86">
        <f>IF(SUMIFS(Datenbasis!$E$13:$E$211,Datenbasis!$H$13:$H$211,A58)=0,"",SUMIFS(Datenbasis!$E$13:$E$211,Datenbasis!$H$13:$H$211,A58))</f>
        <v/>
      </c>
      <c r="C58" s="86">
        <f>IF(OR(B58="",Einstellungen!$B$15=""),"",Einstellungen!$B$15)</f>
        <v/>
      </c>
      <c r="D58" s="87">
        <f>IF(C58="","",C58-B58)</f>
        <v/>
      </c>
    </row>
    <row r="59">
      <c r="A59" s="88" t="n">
        <v>37</v>
      </c>
      <c r="B59" s="86">
        <f>IF(SUMIFS(Datenbasis!$E$13:$E$211,Datenbasis!$H$13:$H$211,A59)=0,"",SUMIFS(Datenbasis!$E$13:$E$211,Datenbasis!$H$13:$H$211,A59))</f>
        <v/>
      </c>
      <c r="C59" s="86">
        <f>IF(OR(B59="",Einstellungen!$B$15=""),"",Einstellungen!$B$15)</f>
        <v/>
      </c>
      <c r="D59" s="87">
        <f>IF(C59="","",C59-B59)</f>
        <v/>
      </c>
    </row>
    <row r="60">
      <c r="A60" s="88" t="n">
        <v>38</v>
      </c>
      <c r="B60" s="86">
        <f>IF(SUMIFS(Datenbasis!$E$13:$E$211,Datenbasis!$H$13:$H$211,A60)=0,"",SUMIFS(Datenbasis!$E$13:$E$211,Datenbasis!$H$13:$H$211,A60))</f>
        <v/>
      </c>
      <c r="C60" s="86">
        <f>IF(OR(B60="",Einstellungen!$B$15=""),"",Einstellungen!$B$15)</f>
        <v/>
      </c>
      <c r="D60" s="87">
        <f>IF(C60="","",C60-B60)</f>
        <v/>
      </c>
    </row>
    <row r="61">
      <c r="A61" s="88" t="n">
        <v>39</v>
      </c>
      <c r="B61" s="86">
        <f>IF(SUMIFS(Datenbasis!$E$13:$E$211,Datenbasis!$H$13:$H$211,A61)=0,"",SUMIFS(Datenbasis!$E$13:$E$211,Datenbasis!$H$13:$H$211,A61))</f>
        <v/>
      </c>
      <c r="C61" s="86">
        <f>IF(OR(B61="",Einstellungen!$B$15=""),"",Einstellungen!$B$15)</f>
        <v/>
      </c>
      <c r="D61" s="87">
        <f>IF(C61="","",C61-B61)</f>
        <v/>
      </c>
    </row>
    <row r="62">
      <c r="A62" s="88" t="n">
        <v>40</v>
      </c>
      <c r="B62" s="86">
        <f>IF(SUMIFS(Datenbasis!$E$13:$E$211,Datenbasis!$H$13:$H$211,A62)=0,"",SUMIFS(Datenbasis!$E$13:$E$211,Datenbasis!$H$13:$H$211,A62))</f>
        <v/>
      </c>
      <c r="C62" s="86">
        <f>IF(OR(B62="",Einstellungen!$B$15=""),"",Einstellungen!$B$15)</f>
        <v/>
      </c>
      <c r="D62" s="87">
        <f>IF(C62="","",C62-B62)</f>
        <v/>
      </c>
    </row>
    <row r="63">
      <c r="A63" s="88" t="n">
        <v>41</v>
      </c>
      <c r="B63" s="86">
        <f>IF(SUMIFS(Datenbasis!$E$13:$E$211,Datenbasis!$H$13:$H$211,A63)=0,"",SUMIFS(Datenbasis!$E$13:$E$211,Datenbasis!$H$13:$H$211,A63))</f>
        <v/>
      </c>
      <c r="C63" s="86">
        <f>IF(OR(B63="",Einstellungen!$B$15=""),"",Einstellungen!$B$15)</f>
        <v/>
      </c>
      <c r="D63" s="87">
        <f>IF(C63="","",C63-B63)</f>
        <v/>
      </c>
    </row>
    <row r="64">
      <c r="A64" s="88" t="n">
        <v>42</v>
      </c>
      <c r="B64" s="86">
        <f>IF(SUMIFS(Datenbasis!$E$13:$E$211,Datenbasis!$H$13:$H$211,A64)=0,"",SUMIFS(Datenbasis!$E$13:$E$211,Datenbasis!$H$13:$H$211,A64))</f>
        <v/>
      </c>
      <c r="C64" s="86">
        <f>IF(OR(B64="",Einstellungen!$B$15=""),"",Einstellungen!$B$15)</f>
        <v/>
      </c>
      <c r="D64" s="87">
        <f>IF(C64="","",C64-B64)</f>
        <v/>
      </c>
    </row>
    <row r="65">
      <c r="A65" s="88" t="n">
        <v>43</v>
      </c>
      <c r="B65" s="86">
        <f>IF(SUMIFS(Datenbasis!$E$13:$E$211,Datenbasis!$H$13:$H$211,A65)=0,"",SUMIFS(Datenbasis!$E$13:$E$211,Datenbasis!$H$13:$H$211,A65))</f>
        <v/>
      </c>
      <c r="C65" s="86">
        <f>IF(OR(B65="",Einstellungen!$B$15=""),"",Einstellungen!$B$15)</f>
        <v/>
      </c>
      <c r="D65" s="87">
        <f>IF(C65="","",C65-B65)</f>
        <v/>
      </c>
    </row>
    <row r="66">
      <c r="A66" s="88" t="n">
        <v>44</v>
      </c>
      <c r="B66" s="86">
        <f>IF(SUMIFS(Datenbasis!$E$13:$E$211,Datenbasis!$H$13:$H$211,A66)=0,"",SUMIFS(Datenbasis!$E$13:$E$211,Datenbasis!$H$13:$H$211,A66))</f>
        <v/>
      </c>
      <c r="C66" s="86">
        <f>IF(OR(B66="",Einstellungen!$B$15=""),"",Einstellungen!$B$15)</f>
        <v/>
      </c>
      <c r="D66" s="87">
        <f>IF(C66="","",C66-B66)</f>
        <v/>
      </c>
    </row>
    <row r="67">
      <c r="A67" s="88" t="n">
        <v>45</v>
      </c>
      <c r="B67" s="86">
        <f>IF(SUMIFS(Datenbasis!$E$13:$E$211,Datenbasis!$H$13:$H$211,A67)=0,"",SUMIFS(Datenbasis!$E$13:$E$211,Datenbasis!$H$13:$H$211,A67))</f>
        <v/>
      </c>
      <c r="C67" s="86">
        <f>IF(OR(B67="",Einstellungen!$B$15=""),"",Einstellungen!$B$15)</f>
        <v/>
      </c>
      <c r="D67" s="87">
        <f>IF(C67="","",C67-B67)</f>
        <v/>
      </c>
    </row>
    <row r="68">
      <c r="A68" s="88" t="n">
        <v>46</v>
      </c>
      <c r="B68" s="86">
        <f>IF(SUMIFS(Datenbasis!$E$13:$E$211,Datenbasis!$H$13:$H$211,A68)=0,"",SUMIFS(Datenbasis!$E$13:$E$211,Datenbasis!$H$13:$H$211,A68))</f>
        <v/>
      </c>
      <c r="C68" s="86">
        <f>IF(OR(B68="",Einstellungen!$B$15=""),"",Einstellungen!$B$15)</f>
        <v/>
      </c>
      <c r="D68" s="87">
        <f>IF(C68="","",C68-B68)</f>
        <v/>
      </c>
    </row>
    <row r="69">
      <c r="A69" s="88" t="n">
        <v>47</v>
      </c>
      <c r="B69" s="86">
        <f>IF(SUMIFS(Datenbasis!$E$13:$E$211,Datenbasis!$H$13:$H$211,A69)=0,"",SUMIFS(Datenbasis!$E$13:$E$211,Datenbasis!$H$13:$H$211,A69))</f>
        <v/>
      </c>
      <c r="C69" s="86">
        <f>IF(OR(B69="",Einstellungen!$B$15=""),"",Einstellungen!$B$15)</f>
        <v/>
      </c>
      <c r="D69" s="87">
        <f>IF(C69="","",C69-B69)</f>
        <v/>
      </c>
    </row>
    <row r="70">
      <c r="A70" s="88" t="n">
        <v>48</v>
      </c>
      <c r="B70" s="86">
        <f>IF(SUMIFS(Datenbasis!$E$13:$E$211,Datenbasis!$H$13:$H$211,A70)=0,"",SUMIFS(Datenbasis!$E$13:$E$211,Datenbasis!$H$13:$H$211,A70))</f>
        <v/>
      </c>
      <c r="C70" s="86">
        <f>IF(OR(B70="",Einstellungen!$B$15=""),"",Einstellungen!$B$15)</f>
        <v/>
      </c>
      <c r="D70" s="87">
        <f>IF(C70="","",C70-B70)</f>
        <v/>
      </c>
    </row>
    <row r="71">
      <c r="A71" s="88" t="n">
        <v>49</v>
      </c>
      <c r="B71" s="86">
        <f>IF(SUMIFS(Datenbasis!$E$13:$E$211,Datenbasis!$H$13:$H$211,A71)=0,"",SUMIFS(Datenbasis!$E$13:$E$211,Datenbasis!$H$13:$H$211,A71))</f>
        <v/>
      </c>
      <c r="C71" s="86">
        <f>IF(OR(B71="",Einstellungen!$B$15=""),"",Einstellungen!$B$15)</f>
        <v/>
      </c>
      <c r="D71" s="87">
        <f>IF(C71="","",C71-B71)</f>
        <v/>
      </c>
    </row>
    <row r="72">
      <c r="A72" s="88" t="n">
        <v>50</v>
      </c>
      <c r="B72" s="86">
        <f>IF(SUMIFS(Datenbasis!$E$13:$E$211,Datenbasis!$H$13:$H$211,A72)=0,"",SUMIFS(Datenbasis!$E$13:$E$211,Datenbasis!$H$13:$H$211,A72))</f>
        <v/>
      </c>
      <c r="C72" s="86">
        <f>IF(OR(B72="",Einstellungen!$B$15=""),"",Einstellungen!$B$15)</f>
        <v/>
      </c>
      <c r="D72" s="87">
        <f>IF(C72="","",C72-B72)</f>
        <v/>
      </c>
    </row>
    <row r="73">
      <c r="A73" s="88" t="n">
        <v>51</v>
      </c>
      <c r="B73" s="86">
        <f>IF(SUMIFS(Datenbasis!$E$13:$E$211,Datenbasis!$H$13:$H$211,A73)=0,"",SUMIFS(Datenbasis!$E$13:$E$211,Datenbasis!$H$13:$H$211,A73))</f>
        <v/>
      </c>
      <c r="C73" s="86">
        <f>IF(OR(B73="",Einstellungen!$B$15=""),"",Einstellungen!$B$15)</f>
        <v/>
      </c>
      <c r="D73" s="87">
        <f>IF(C73="","",C73-B73)</f>
        <v/>
      </c>
    </row>
    <row r="74">
      <c r="A74" s="88" t="n">
        <v>52</v>
      </c>
      <c r="B74" s="86">
        <f>IF(SUMIFS(Datenbasis!$E$13:$E$211,Datenbasis!$H$13:$H$211,A74)=0,"",SUMIFS(Datenbasis!$E$13:$E$211,Datenbasis!$H$13:$H$211,A74))</f>
        <v/>
      </c>
      <c r="C74" s="86">
        <f>IF(OR(B74="",Einstellungen!$B$15=""),"",Einstellungen!$B$15)</f>
        <v/>
      </c>
      <c r="D74" s="87">
        <f>IF(C74="","",C74-B74)</f>
        <v/>
      </c>
    </row>
    <row r="75">
      <c r="A75" s="88" t="n">
        <v>53</v>
      </c>
      <c r="B75" s="86">
        <f>IF(SUMIFS(Datenbasis!$E$13:$E$211,Datenbasis!$H$13:$H$211,A75)=0,"",SUMIFS(Datenbasis!$E$13:$E$211,Datenbasis!$H$13:$H$211,A75))</f>
        <v/>
      </c>
      <c r="C75" s="86">
        <f>IF(OR(B75="",Einstellungen!$B$15=""),"",Einstellungen!$B$15)</f>
        <v/>
      </c>
      <c r="D75" s="87">
        <f>IF(C75="","",C75-B75)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tabSelected="0" workbookViewId="0">
      <selection activeCell="A1" sqref="A1:F1"/>
    </sheetView>
  </sheetViews>
  <sheetFormatPr baseColWidth="10" defaultColWidth="8.83203125" defaultRowHeight="14"/>
  <cols>
    <col width="28" customWidth="1" style="54" min="1" max="1"/>
    <col width="18" customWidth="1" style="54" min="2" max="2"/>
    <col width="28" customWidth="1" style="54" min="4" max="4"/>
    <col width="22" customWidth="1" style="54" min="5" max="6"/>
  </cols>
  <sheetData>
    <row r="1" ht="28.5" customHeight="1" s="54">
      <c r="A1" s="89" t="inlineStr">
        <is>
          <t>Einstellungen</t>
        </is>
      </c>
      <c r="G1" s="1" t="n"/>
      <c r="H1" s="1" t="n"/>
    </row>
    <row r="2" ht="25.5" customHeight="1" s="54">
      <c r="A2" s="90" t="inlineStr">
        <is>
          <t>Monat und Stundensatz hier ändern; alle Auswertungen und der Tätigkeitsschein greifen darauf zurück.</t>
        </is>
      </c>
    </row>
    <row r="3" ht="15" customHeight="1" s="54">
      <c r="A3" s="1" t="n"/>
      <c r="B3" s="1" t="n"/>
      <c r="C3" s="1" t="n"/>
      <c r="D3" s="1" t="n"/>
      <c r="E3" s="1" t="n"/>
      <c r="F3" s="1" t="n"/>
      <c r="G3" s="1" t="n"/>
      <c r="H3" s="1" t="n"/>
    </row>
    <row r="4" ht="15" customHeight="1" s="54">
      <c r="A4" s="2" t="inlineStr">
        <is>
          <t>Monat beginnt am</t>
        </is>
      </c>
      <c r="B4" s="3" t="n">
        <v>46174</v>
      </c>
      <c r="C4" s="1" t="n"/>
      <c r="D4" s="4" t="inlineStr">
        <is>
          <t>Kategorie-Liste</t>
        </is>
      </c>
      <c r="E4" s="4" t="inlineStr">
        <is>
          <t>Status-Liste</t>
        </is>
      </c>
      <c r="F4" s="4" t="inlineStr">
        <is>
          <t>Monatslabel</t>
        </is>
      </c>
      <c r="G4" s="1" t="n"/>
      <c r="H4" s="1" t="n"/>
    </row>
    <row r="5" ht="15" customHeight="1" s="54">
      <c r="A5" s="2" t="inlineStr">
        <is>
          <t>Stundensatz</t>
        </is>
      </c>
      <c r="B5" s="5" t="n">
        <v>85</v>
      </c>
      <c r="C5" s="1" t="n"/>
      <c r="D5" s="6" t="inlineStr">
        <is>
          <t>Analyse / Recherche</t>
        </is>
      </c>
      <c r="E5" s="6" t="inlineStr">
        <is>
          <t>Initial</t>
        </is>
      </c>
      <c r="F5" s="6">
        <f>CHOOSE(MONTH(B4),"Januar","Februar","März","April","Mai","Juni","Juli","August","September","Oktober","November","Dezember")&amp;" "&amp;YEAR(B4)</f>
        <v/>
      </c>
      <c r="G5" s="1" t="n"/>
      <c r="H5" s="1" t="n"/>
    </row>
    <row r="6" ht="15" customHeight="1" s="54">
      <c r="A6" s="2" t="inlineStr">
        <is>
          <t>Auftraggeber</t>
        </is>
      </c>
      <c r="B6" s="7" t="inlineStr">
        <is>
          <t>Robert</t>
        </is>
      </c>
      <c r="C6" s="1" t="n"/>
      <c r="D6" s="6" t="inlineStr">
        <is>
          <t>Technische Konzeption</t>
        </is>
      </c>
      <c r="E6" s="6" t="inlineStr">
        <is>
          <t>In Arbeit</t>
        </is>
      </c>
      <c r="F6" s="6" t="n"/>
      <c r="G6" s="1" t="n"/>
      <c r="H6" s="1" t="n"/>
    </row>
    <row r="7" ht="15" customHeight="1" s="54">
      <c r="A7" s="2" t="inlineStr">
        <is>
          <t>Auftragnehmer/in</t>
        </is>
      </c>
      <c r="B7" s="7" t="inlineStr">
        <is>
          <t>Maria</t>
        </is>
      </c>
      <c r="C7" s="1" t="n"/>
      <c r="D7" s="6" t="inlineStr">
        <is>
          <t>Projektplanung</t>
        </is>
      </c>
      <c r="E7" s="6" t="inlineStr">
        <is>
          <t>Abgeschlossen</t>
        </is>
      </c>
      <c r="F7" s="6" t="n"/>
      <c r="G7" s="1" t="n"/>
      <c r="H7" s="1" t="n"/>
    </row>
    <row r="8" ht="15" customHeight="1" s="54">
      <c r="A8" s="2" t="inlineStr">
        <is>
          <t>Währung</t>
        </is>
      </c>
      <c r="B8" s="7" t="inlineStr">
        <is>
          <t>EUR</t>
        </is>
      </c>
      <c r="C8" s="1" t="n"/>
      <c r="D8" s="6" t="inlineStr">
        <is>
          <t>Setup / Administration</t>
        </is>
      </c>
      <c r="E8" s="6" t="n"/>
      <c r="F8" s="6" t="n"/>
      <c r="G8" s="1" t="n"/>
      <c r="H8" s="1" t="n"/>
    </row>
    <row r="9" ht="15" customHeight="1" s="54">
      <c r="A9" s="2" t="inlineStr">
        <is>
          <t>Max. Tracking-Zeilen</t>
        </is>
      </c>
      <c r="B9" s="7" t="n">
        <v>200</v>
      </c>
      <c r="C9" s="1" t="n"/>
      <c r="D9" s="6" t="inlineStr">
        <is>
          <t>Umsetzung / Dokumentation</t>
        </is>
      </c>
      <c r="E9" s="6" t="n"/>
      <c r="F9" s="6" t="n"/>
      <c r="G9" s="1" t="n"/>
      <c r="H9" s="1" t="n"/>
    </row>
    <row r="10" ht="30" customHeight="1" s="54">
      <c r="A10" s="2" t="inlineStr">
        <is>
          <t>Hinweis</t>
        </is>
      </c>
      <c r="B10" s="7" t="inlineStr">
        <is>
          <t>Zeiterfassung ist als Screenshot-Ansicht für Robert formatiert. Details/Kategorien liegen in der Datenbasis.</t>
        </is>
      </c>
      <c r="C10" s="1" t="n"/>
      <c r="D10" s="1" t="n"/>
      <c r="E10" s="1" t="n"/>
      <c r="F10" s="1" t="n"/>
      <c r="G10" s="1" t="n"/>
      <c r="H10" s="1" t="n"/>
    </row>
    <row r="11" ht="15" customHeight="1" s="54">
      <c r="A11" s="2" t="inlineStr">
        <is>
          <t>Datei-Zweck</t>
        </is>
      </c>
      <c r="B11" s="7" t="inlineStr">
        <is>
          <t>Laufendes Time Tracking + monatlicher Tätigkeitsschein</t>
        </is>
      </c>
      <c r="C11" s="1" t="n"/>
      <c r="D11" s="1" t="n"/>
      <c r="E11" s="1" t="n"/>
      <c r="F11" s="1" t="n"/>
      <c r="G11" s="1" t="n"/>
      <c r="H11" s="1" t="n"/>
    </row>
    <row r="13">
      <c r="A13" s="99" t="inlineStr">
        <is>
          <t>Budget-Eingaben</t>
        </is>
      </c>
    </row>
    <row r="14">
      <c r="A14" s="82" t="inlineStr">
        <is>
          <t>Monatsbudget (Std.)</t>
        </is>
      </c>
      <c r="B14" s="92" t="inlineStr"/>
    </row>
    <row r="15">
      <c r="A15" s="82" t="inlineStr">
        <is>
          <t>KW-Budget (Std.)</t>
        </is>
      </c>
      <c r="B15" s="92" t="inlineStr"/>
    </row>
    <row r="16">
      <c r="A16" s="82" t="inlineStr">
        <is>
          <t>Hinweis</t>
        </is>
      </c>
      <c r="B16" s="93" t="inlineStr">
        <is>
          <t>Gelbe Zellen ausfüllen; Restbudget berechnet sich automatisch.</t>
        </is>
      </c>
    </row>
  </sheetData>
  <mergeCells count="3">
    <mergeCell ref="A1:F1"/>
    <mergeCell ref="A13:B13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1"/>
  <sheetViews>
    <sheetView showGridLines="0" tabSelected="0" workbookViewId="0">
      <selection activeCell="D7" sqref="D7"/>
    </sheetView>
  </sheetViews>
  <sheetFormatPr baseColWidth="10" defaultColWidth="8.83203125" defaultRowHeight="14"/>
  <cols>
    <col width="14" customWidth="1" style="54" min="1" max="1"/>
    <col width="18" customWidth="1" style="54" min="2" max="2"/>
    <col hidden="1" width="30" customWidth="1" style="54" min="3" max="3"/>
    <col width="84" customWidth="1" style="54" min="4" max="4"/>
    <col width="12" customWidth="1" style="54" min="5" max="6"/>
    <col width="13" customWidth="1" style="54" min="7" max="7"/>
    <col width="8" customWidth="1" style="54" min="8" max="8"/>
    <col width="18" customWidth="1" style="54" min="9" max="9"/>
    <col width="22" customWidth="1" style="54" min="10" max="10"/>
    <col width="16" customWidth="1" style="54" min="11" max="11"/>
  </cols>
  <sheetData>
    <row r="1" ht="28.5" customHeight="1" s="54">
      <c r="A1" s="89" t="inlineStr">
        <is>
          <t>Datenbasis</t>
        </is>
      </c>
    </row>
    <row r="2" ht="25.5" customHeight="1" s="54">
      <c r="A2" s="90" t="inlineStr">
        <is>
          <t>Interne Arbeitsdaten für Auswertung und Tätigkeitsschein. Roberts Screenshot wird aus dem Blatt Zeiterfassung erstellt.</t>
        </is>
      </c>
      <c r="I2" s="1" t="n"/>
      <c r="J2" s="1" t="n"/>
      <c r="K2" s="1" t="n"/>
    </row>
    <row r="3" ht="15" customHeight="1" s="5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" customHeight="1" s="54">
      <c r="A4" s="9" t="inlineStr">
        <is>
          <t>Monat</t>
        </is>
      </c>
      <c r="B4" s="9" t="inlineStr">
        <is>
          <t>Stundensatz</t>
        </is>
      </c>
      <c r="D4" s="9" t="inlineStr">
        <is>
          <t>Monatsstunden</t>
        </is>
      </c>
      <c r="E4" s="9" t="inlineStr">
        <is>
          <t>Monatsbetrag</t>
        </is>
      </c>
      <c r="F4" s="1" t="n"/>
      <c r="G4" s="1" t="n"/>
      <c r="H4" s="1" t="n"/>
      <c r="I4" s="1" t="n"/>
      <c r="J4" s="1" t="n"/>
      <c r="K4" s="1" t="n"/>
    </row>
    <row r="5" ht="15" customHeight="1" s="54">
      <c r="A5" s="10">
        <f>Einstellungen!F5</f>
        <v/>
      </c>
      <c r="B5" s="11">
        <f>Einstellungen!B5</f>
        <v/>
      </c>
      <c r="D5" s="11">
        <f>SUMIFS(E13:E211,A13:A211,"&gt;="&amp;Einstellungen!B4,A13:A211,"&lt;"&amp;DATE(YEAR(Einstellungen!B4),MONTH(Einstellungen!B4)+1,1))</f>
        <v/>
      </c>
      <c r="E5" s="12">
        <f>SUMIFS(G13:G211,A13:A211,"&gt;="&amp;Einstellungen!B4,A13:A211,"&lt;"&amp;DATE(YEAR(Einstellungen!B4),MONTH(Einstellungen!B4)+1,1))</f>
        <v/>
      </c>
      <c r="F5" s="1" t="n"/>
      <c r="G5" s="1" t="n"/>
      <c r="H5" s="1" t="n"/>
      <c r="I5" s="1" t="n"/>
      <c r="J5" s="1" t="n"/>
      <c r="K5" s="1" t="n"/>
    </row>
    <row r="6" ht="15" customHeight="1" s="5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5" customHeight="1" s="54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15" customHeight="1" s="5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15" customHeight="1" s="54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5" customHeight="1" s="54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 s="54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 s="54">
      <c r="A12" s="8" t="inlineStr">
        <is>
          <t>Datum</t>
        </is>
      </c>
      <c r="B12" s="8" t="inlineStr">
        <is>
          <t>Bereich</t>
        </is>
      </c>
      <c r="C12" s="8" t="inlineStr">
        <is>
          <t>Aufgabe kurz</t>
        </is>
      </c>
      <c r="D12" s="8" t="inlineStr">
        <is>
          <t>Tätigkeit</t>
        </is>
      </c>
      <c r="E12" s="8" t="inlineStr">
        <is>
          <t>Zeit (Std.)</t>
        </is>
      </c>
      <c r="F12" s="8" t="inlineStr">
        <is>
          <t>Stundensatz</t>
        </is>
      </c>
      <c r="G12" s="8" t="inlineStr">
        <is>
          <t>Betrag</t>
        </is>
      </c>
      <c r="H12" s="8" t="inlineStr">
        <is>
          <t>KW</t>
        </is>
      </c>
      <c r="I12" s="8" t="inlineStr">
        <is>
          <t>Monat</t>
        </is>
      </c>
      <c r="J12" s="8" t="inlineStr">
        <is>
          <t>Kategorie</t>
        </is>
      </c>
      <c r="K12" s="8" t="inlineStr">
        <is>
          <t>Status</t>
        </is>
      </c>
    </row>
    <row r="13" ht="54" customHeight="1" s="54">
      <c r="A13" s="13" t="n">
        <v>46190</v>
      </c>
      <c r="B13" s="14" t="inlineStr">
        <is>
          <t>QR Code</t>
        </is>
      </c>
      <c r="C13" s="14" t="inlineStr">
        <is>
          <t>Prozess-Refresh, Toolmarkt und Build-Option</t>
        </is>
      </c>
      <c r="D13" s="14" t="inlineStr">
        <is>
      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      </is>
      </c>
      <c r="E13" s="15" t="n">
        <v>3.15</v>
      </c>
      <c r="F13" s="94">
        <f>IF(A13="","",Einstellungen!$B$5)</f>
        <v/>
      </c>
      <c r="G13" s="98">
        <f>IF(A13="","",E13*F13)</f>
        <v/>
      </c>
      <c r="H13" s="16">
        <f>IF(A13="","",ISOWEEKNUM(A13))</f>
        <v/>
      </c>
      <c r="I13" s="14">
        <f>IF(A13="","",TEXT(A13,"[$-de-DE]MMMM YYYY"))</f>
        <v/>
      </c>
      <c r="J13" s="14" t="inlineStr">
        <is>
          <t>Analyse / Recherche</t>
        </is>
      </c>
      <c r="K13" s="14" t="inlineStr">
        <is>
          <t>Abgeschlossen</t>
        </is>
      </c>
    </row>
    <row r="14" ht="54" customHeight="1" s="54">
      <c r="A14" s="13" t="n">
        <v>46191</v>
      </c>
      <c r="B14" s="14" t="inlineStr">
        <is>
          <t>Technisches Setup</t>
        </is>
      </c>
      <c r="C14" s="14" t="inlineStr">
        <is>
          <t>Accounts, Mail und Arbeitsumgebung</t>
        </is>
      </c>
      <c r="D14" s="14" t="inlineStr">
        <is>
      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      </is>
      </c>
      <c r="E14" s="15" t="n">
        <v>0.75</v>
      </c>
      <c r="F14" s="94">
        <f>IF(A14="","",Einstellungen!$B$5)</f>
        <v/>
      </c>
      <c r="G14" s="98">
        <f>IF(A14="","",E14*F14)</f>
        <v/>
      </c>
      <c r="H14" s="16">
        <f>IF(A14="","",ISOWEEKNUM(A14))</f>
        <v/>
      </c>
      <c r="I14" s="14">
        <f>IF(A14="","",TEXT(A14,"[$-de-DE]MMMM YYYY"))</f>
        <v/>
      </c>
      <c r="J14" s="14" t="inlineStr">
        <is>
          <t>Setup / Administration</t>
        </is>
      </c>
      <c r="K14" s="14" t="inlineStr">
        <is>
          <t>Abgeschlossen</t>
        </is>
      </c>
    </row>
    <row r="15" ht="54" customHeight="1" s="54">
      <c r="A15" s="13" t="n">
        <v>46191</v>
      </c>
      <c r="B15" s="14" t="inlineStr">
        <is>
          <t>QR Code</t>
        </is>
      </c>
      <c r="C15" s="14" t="inlineStr">
        <is>
          <t>Technisches Setup und Stack-Vorauswahl</t>
        </is>
      </c>
      <c r="D15" s="14" t="inlineStr">
        <is>
      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      </is>
      </c>
      <c r="E15" s="15" t="n">
        <v>1.5</v>
      </c>
      <c r="F15" s="94">
        <f>IF(A15="","",Einstellungen!$B$5)</f>
        <v/>
      </c>
      <c r="G15" s="98">
        <f>IF(A15="","",E15*F15)</f>
        <v/>
      </c>
      <c r="H15" s="16">
        <f>IF(A15="","",ISOWEEKNUM(A15))</f>
        <v/>
      </c>
      <c r="I15" s="14">
        <f>IF(A15="","",TEXT(A15,"[$-de-DE]MMMM YYYY"))</f>
        <v/>
      </c>
      <c r="J15" s="14" t="inlineStr">
        <is>
          <t>Technische Konzeption</t>
        </is>
      </c>
      <c r="K15" s="14" t="inlineStr">
        <is>
          <t>Abgeschlossen</t>
        </is>
      </c>
    </row>
    <row r="16" ht="54" customHeight="1" s="54">
      <c r="A16" s="13" t="n">
        <v>46191</v>
      </c>
      <c r="B16" s="14" t="inlineStr">
        <is>
          <t>Asana / Monday</t>
        </is>
      </c>
      <c r="C16" s="14" t="inlineStr">
        <is>
          <t>Projektplan Migration Monday zu Asana</t>
        </is>
      </c>
      <c r="D16" s="14" t="inlineStr">
        <is>
          <t>Aufsetzen eines ersten Projektplan-Rahmens für die Ablösung von Monday durch Asana inklusive erster Sichtung der Asana Features.</t>
        </is>
      </c>
      <c r="E16" s="15" t="n">
        <v>0.5</v>
      </c>
      <c r="F16" s="94">
        <f>IF(A16="","",Einstellungen!$B$5)</f>
        <v/>
      </c>
      <c r="G16" s="98">
        <f>IF(A16="","",E16*F16)</f>
        <v/>
      </c>
      <c r="H16" s="16">
        <f>IF(A16="","",ISOWEEKNUM(A16))</f>
        <v/>
      </c>
      <c r="I16" s="14">
        <f>IF(A16="","",TEXT(A16,"[$-de-DE]MMMM YYYY"))</f>
        <v/>
      </c>
      <c r="J16" s="14" t="inlineStr">
        <is>
          <t>Projektplanung</t>
        </is>
      </c>
      <c r="K16" s="14" t="inlineStr">
        <is>
          <t>Initial</t>
        </is>
      </c>
    </row>
    <row r="17" ht="54" customHeight="1" s="54">
      <c r="A17" s="13" t="n">
        <v>46192</v>
      </c>
      <c r="B17" s="14" t="inlineStr">
        <is>
          <t>Asana / Monday</t>
        </is>
      </c>
      <c r="C17" s="14" t="inlineStr">
        <is>
          <t>Board- und Prozessanalyse</t>
        </is>
      </c>
      <c r="D17" s="14" t="inlineStr">
        <is>
      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      </is>
      </c>
      <c r="E17" s="15" t="n">
        <v>1.15</v>
      </c>
      <c r="F17" s="94">
        <f>IF(A17="","",Einstellungen!$B$5)</f>
        <v/>
      </c>
      <c r="G17" s="98">
        <f>IF(A17="","",E17*F17)</f>
        <v/>
      </c>
      <c r="H17" s="16">
        <f>IF(A17="","",ISOWEEKNUM(A17))</f>
        <v/>
      </c>
      <c r="I17" s="14">
        <f>IF(A17="","",TEXT(A17,"[$-de-DE]MMMM YYYY"))</f>
        <v/>
      </c>
      <c r="J17" s="14" t="inlineStr">
        <is>
          <t>Analyse / Recherche</t>
        </is>
      </c>
      <c r="K17" s="14" t="inlineStr">
        <is>
          <t>Initial</t>
        </is>
      </c>
    </row>
    <row r="18" ht="54" customHeight="1" s="54">
      <c r="A18" s="13" t="n">
        <v>46193</v>
      </c>
      <c r="B18" s="14" t="inlineStr">
        <is>
          <t>QR Code</t>
        </is>
      </c>
      <c r="C18" s="14" t="inlineStr">
        <is>
          <t>Toolvergleich und Build-Abgleich</t>
        </is>
      </c>
      <c r="D18" s="14" t="inlineStr">
        <is>
      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      </is>
      </c>
      <c r="E18" s="15" t="n">
        <v>2.75</v>
      </c>
      <c r="F18" s="94">
        <f>IF(A18="","",Einstellungen!$B$5)</f>
        <v/>
      </c>
      <c r="G18" s="98">
        <f>IF(A18="","",E18*F18)</f>
        <v/>
      </c>
      <c r="H18" s="16">
        <f>IF(A18="","",ISOWEEKNUM(A18))</f>
        <v/>
      </c>
      <c r="I18" s="14">
        <f>IF(A18="","",TEXT(A18,"[$-de-DE]MMMM YYYY"))</f>
        <v/>
      </c>
      <c r="J18" s="14" t="inlineStr">
        <is>
          <t>Analyse / Recherche</t>
        </is>
      </c>
      <c r="K18" s="14" t="inlineStr">
        <is>
          <t>Abgeschlossen</t>
        </is>
      </c>
    </row>
    <row r="19" ht="54" customHeight="1" s="54">
      <c r="A19" s="33" t="n">
        <v>46194</v>
      </c>
      <c r="B19" s="34" t="inlineStr">
        <is>
          <t>QR Code</t>
        </is>
      </c>
      <c r="C19" s="34" t="inlineStr">
        <is>
          <t>Gegenüberstellung prüfen, ergänzen und aufbereiten</t>
        </is>
      </c>
      <c r="D19" s="34" t="inlineStr">
        <is>
      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      </is>
      </c>
      <c r="E19" s="35" t="n">
        <v>0.5</v>
      </c>
      <c r="F19" s="94">
        <f>IF(A19="","",Einstellungen!$B$5)</f>
        <v/>
      </c>
      <c r="G19" s="98">
        <f>IF(A19="","",E19*F19)</f>
        <v/>
      </c>
      <c r="H19" s="16">
        <f>IF(A19="","",ISOWEEKNUM(A19))</f>
        <v/>
      </c>
      <c r="I19" s="14">
        <f>IF(A19="","",TEXT(A19,"[$-de-DE]MMMM YYYY"))</f>
        <v/>
      </c>
      <c r="J19" s="14" t="inlineStr">
        <is>
          <t>Analyse / Recherche</t>
        </is>
      </c>
      <c r="K19" s="14" t="inlineStr">
        <is>
          <t>Abgeschlossen</t>
        </is>
      </c>
    </row>
    <row r="20" ht="54" customHeight="1" s="54">
      <c r="A20" s="13" t="n">
        <v>46196</v>
      </c>
      <c r="B20" s="14" t="inlineStr">
        <is>
          <t>QR Code</t>
        </is>
      </c>
      <c r="C20" s="14" t="inlineStr">
        <is>
          <t>Leistungsbeschreibung Short.io-Anfrage</t>
        </is>
      </c>
      <c r="D20" s="14" t="inlineStr">
        <is>
          <t>Ausarbeitung einer strukturierten Leistungsbeschreibung für die geplante Short.io-Anfrage einschließlich fachlicher Anforderungen, relevanter Rahmenbedingungen und prüffähiger Anfrageinhalte als Grundlage für die weitere Anbieterabstimmung.</t>
        </is>
      </c>
      <c r="E20" s="15" t="n">
        <v>1.2</v>
      </c>
      <c r="F20" s="94">
        <f>IF(A20="","",Einstellungen!$B$5)</f>
        <v/>
      </c>
      <c r="G20" s="98">
        <f>IF(A20="","",E20*F20)</f>
        <v/>
      </c>
      <c r="H20" s="16">
        <f>IF(A20="","",ISOWEEKNUM(A20))</f>
        <v/>
      </c>
      <c r="I20" s="14">
        <f>IF(A20="","",TEXT(A20,"[$-de-DE]MMMM YYYY"))</f>
        <v/>
      </c>
      <c r="J20" s="14" t="n"/>
      <c r="K20" s="14" t="n"/>
    </row>
    <row r="21" ht="54" customHeight="1" s="54">
      <c r="A21" s="13" t="n">
        <v>46197</v>
      </c>
      <c r="B21" s="14" t="inlineStr">
        <is>
          <t>Studie 2027</t>
        </is>
      </c>
      <c r="C21" s="14" t="inlineStr">
        <is>
          <t>Abstimmung Testvarianten Studienkonzept</t>
        </is>
      </c>
      <c r="D21" s="14" t="inlineStr">
        <is>
          <t>Abstimmung mit Jule, Simone und Cathleen zur Konzeption und Einordnung der vier vorgesehenen Testvarianten; Klärung zentraler Anforderungen, Variantenlogik und nächster Schritte für die weitere Studienplanung.</t>
        </is>
      </c>
      <c r="E21" s="15" t="n">
        <v>1</v>
      </c>
      <c r="F21" s="94">
        <f>IF(A21="","",Einstellungen!$B$5)</f>
        <v/>
      </c>
      <c r="G21" s="98">
        <f>IF(A21="","",E21*F21)</f>
        <v/>
      </c>
      <c r="H21" s="16">
        <f>IF(A21="","",ISOWEEKNUM(A21))</f>
        <v/>
      </c>
      <c r="I21" s="14">
        <f>IF(A21="","",TEXT(A21,"[$-de-DE]MMMM YYYY"))</f>
        <v/>
      </c>
      <c r="J21" s="14" t="n"/>
      <c r="K21" s="14" t="n"/>
    </row>
    <row r="22" ht="54" customHeight="1" s="54">
      <c r="A22" s="13" t="n">
        <v>46197</v>
      </c>
      <c r="B22" s="14" t="inlineStr">
        <is>
          <t>Studie 2027</t>
        </is>
      </c>
      <c r="C22" s="14" t="inlineStr">
        <is>
          <t>Einarbeitung Methodik und Studienunterlagen</t>
        </is>
      </c>
      <c r="D22" s="14" t="inlineStr">
        <is>
          <t>Einarbeitung in das Studienthema, Recherche und fachliche Einordnung der verwendeten Methoden sowie Durcharbeitung der vorhandenen Präsentationsunterlagen zur Vorbereitung der weiteren konzeptionellen und inhaltlichen Ausarbeitung.</t>
        </is>
      </c>
      <c r="E22" s="15" t="n">
        <v>1.6</v>
      </c>
      <c r="F22" s="94">
        <f>IF(A22="","",Einstellungen!$B$5)</f>
        <v/>
      </c>
      <c r="G22" s="98">
        <f>IF(A22="","",E22*F22)</f>
        <v/>
      </c>
      <c r="H22" s="16">
        <f>IF(A22="","",ISOWEEKNUM(A22))</f>
        <v/>
      </c>
      <c r="I22" s="14">
        <f>IF(A22="","",TEXT(A22,"[$-de-DE]MMMM YYYY"))</f>
        <v/>
      </c>
      <c r="J22" s="14" t="n"/>
      <c r="K22" s="14" t="n"/>
    </row>
    <row r="23" ht="54" customHeight="1" s="54">
      <c r="A23" s="13" t="n">
        <v>46197</v>
      </c>
      <c r="B23" s="14" t="inlineStr">
        <is>
          <t>Studie 2027</t>
        </is>
      </c>
      <c r="C23" s="14" t="inlineStr">
        <is>
          <t>Briefing Präsentationsausarbeitung</t>
        </is>
      </c>
      <c r="D23" s="14" t="inlineStr">
        <is>
          <t>Erstellung und Strukturierung eines Briefings für Cathleen zur weiteren Bearbeitung der Präsentation, inklusive Zusammenfassung relevanter Inhalte und Anforderungen für die nächste Ausarbeitungsschleife.</t>
        </is>
      </c>
      <c r="E23" s="15" t="n">
        <v>0.5</v>
      </c>
      <c r="F23" s="94">
        <f>IF(A23="","",Einstellungen!$B$5)</f>
        <v/>
      </c>
      <c r="G23" s="98">
        <f>IF(A23="","",E23*F23)</f>
        <v/>
      </c>
      <c r="H23" s="16">
        <f>IF(A23="","",ISOWEEKNUM(A23))</f>
        <v/>
      </c>
      <c r="I23" s="14">
        <f>IF(A23="","",TEXT(A23,"[$-de-DE]MMMM YYYY"))</f>
        <v/>
      </c>
      <c r="J23" s="14" t="n"/>
      <c r="K23" s="14" t="n"/>
    </row>
    <row r="24" ht="54" customHeight="1" s="54">
      <c r="A24" s="13" t="n">
        <v>46198</v>
      </c>
      <c r="B24" s="14" t="inlineStr">
        <is>
          <t>Studie 2027</t>
        </is>
      </c>
      <c r="C24" s="14" t="inlineStr">
        <is>
          <t>Finalisierung Briefing und Visualisierungstexte</t>
        </is>
      </c>
      <c r="D24" s="14" t="inlineStr">
        <is>
          <t>Finalisierung des Briefings für Cathleen sowie Ausarbeitung und Präzisierung von Textvorschlägen und Visualisierungsansätzen für die Studienpräsentation.</t>
        </is>
      </c>
      <c r="E24" s="15" t="n">
        <v>1.2</v>
      </c>
      <c r="F24" s="94">
        <f>IF(A24="","",Einstellungen!$B$5)</f>
        <v/>
      </c>
      <c r="G24" s="98">
        <f>IF(A24="","",E24*F24)</f>
        <v/>
      </c>
      <c r="H24" s="16">
        <f>IF(A24="","",ISOWEEKNUM(A24))</f>
        <v/>
      </c>
      <c r="I24" s="14">
        <f>IF(A24="","",TEXT(A24,"[$-de-DE]MMMM YYYY"))</f>
        <v/>
      </c>
      <c r="J24" s="14" t="n"/>
      <c r="K24" s="14" t="n"/>
    </row>
    <row r="25" ht="54" customHeight="1" s="54">
      <c r="A25" s="13" t="n">
        <v>46198</v>
      </c>
      <c r="B25" s="14" t="inlineStr">
        <is>
          <t>Studie 2027</t>
        </is>
      </c>
      <c r="C25" s="14" t="inlineStr">
        <is>
          <t>Anfrage POSTWURFSPEZIAL</t>
        </is>
      </c>
      <c r="D25" s="14" t="inlineStr">
        <is>
          <t>Vorbereitung und Formulierung der Anfrage zu POSTWURFSPEZIAL unter Berücksichtigung der für die Studienumsetzung relevanten Anforderungen und Abstimmungsbedarfe.</t>
        </is>
      </c>
      <c r="E25" s="15" t="n">
        <v>0.6</v>
      </c>
      <c r="F25" s="94">
        <f>IF(A25="","",Einstellungen!$B$5)</f>
        <v/>
      </c>
      <c r="G25" s="98">
        <f>IF(A25="","",E25*F25)</f>
        <v/>
      </c>
      <c r="H25" s="16">
        <f>IF(A25="","",ISOWEEKNUM(A25))</f>
        <v/>
      </c>
      <c r="I25" s="14">
        <f>IF(A25="","",TEXT(A25,"[$-de-DE]MMMM YYYY"))</f>
        <v/>
      </c>
      <c r="J25" s="14" t="n"/>
      <c r="K25" s="14" t="n"/>
    </row>
    <row r="26" ht="54" customHeight="1" s="54">
      <c r="A26" s="13" t="n">
        <v>46198</v>
      </c>
      <c r="B26" s="14" t="inlineStr">
        <is>
          <t>Studie 2027</t>
        </is>
      </c>
      <c r="C26" s="14" t="inlineStr">
        <is>
          <t>Ist-/Soll-Analyse Studienmailing</t>
        </is>
      </c>
      <c r="D26" s="14" t="inlineStr">
        <is>
          <t>Durchführung einer Ist-/Soll-Analyse für die Erstellung des Studienmailings; Prüfung des Partnerfragebogens und der InDesign-Vorlagen sowie Bewertung möglicher Automatisierungsansätze einschließlich teambezogener Abstimmungen zu Umsetzbarkeit und Vorgehen.</t>
        </is>
      </c>
      <c r="E26" s="15" t="n">
        <v>2.15</v>
      </c>
      <c r="F26" s="94">
        <f>IF(A26="","",Einstellungen!$B$5)</f>
        <v/>
      </c>
      <c r="G26" s="98">
        <f>IF(A26="","",E26*F26)</f>
        <v/>
      </c>
      <c r="H26" s="16">
        <f>IF(A26="","",ISOWEEKNUM(A26))</f>
        <v/>
      </c>
      <c r="I26" s="14">
        <f>IF(A26="","",TEXT(A26,"[$-de-DE]MMMM YYYY"))</f>
        <v/>
      </c>
      <c r="J26" s="14" t="n"/>
      <c r="K26" s="14" t="n"/>
    </row>
    <row r="27" ht="54" customHeight="1" s="54">
      <c r="A27" s="13" t="n">
        <v>46198</v>
      </c>
      <c r="B27" s="14" t="inlineStr">
        <is>
          <t>Studie 2027</t>
        </is>
      </c>
      <c r="C27" s="14" t="inlineStr">
        <is>
          <t>Klärung Pre-Test-Vorgehen</t>
        </is>
      </c>
      <c r="D27" s="14" t="inlineStr">
        <is>
          <t>Klärung des geplanten Pre-Test-Vorgehens mit dem Team, einschließlich Abstimmung offener Punkte und Einordnung der nächsten Schritte für die weitere Studienvorbereitung.</t>
        </is>
      </c>
      <c r="E27" s="15" t="n">
        <v>0.3</v>
      </c>
      <c r="F27" s="94">
        <f>IF(A27="","",Einstellungen!$B$5)</f>
        <v/>
      </c>
      <c r="G27" s="98">
        <f>IF(A27="","",E27*F27)</f>
        <v/>
      </c>
      <c r="H27" s="16">
        <f>IF(A27="","",ISOWEEKNUM(A27))</f>
        <v/>
      </c>
      <c r="I27" s="14">
        <f>IF(A27="","",TEXT(A27,"[$-de-DE]MMMM YYYY"))</f>
        <v/>
      </c>
      <c r="J27" s="14" t="n"/>
      <c r="K27" s="14" t="n"/>
    </row>
    <row r="28" ht="54" customHeight="1" s="54">
      <c r="A28" s="13" t="n">
        <v>46198</v>
      </c>
      <c r="B28" s="14" t="inlineStr">
        <is>
          <t>Studie 2027</t>
        </is>
      </c>
      <c r="C28" s="14" t="inlineStr">
        <is>
          <t>Statusabfrage und Arbeitspaket-Update</t>
        </is>
      </c>
      <c r="D28" s="14" t="inlineStr">
        <is>
          <t>Einholung aktueller Statusinformationen und Aktualisierung der Arbeitspakete bis zum 03.07.; Strukturierung der offenen Punkte und Nachverfolgung relevanter Zuständigkeiten.</t>
        </is>
      </c>
      <c r="E28" s="15" t="n">
        <v>0.5</v>
      </c>
      <c r="F28" s="94">
        <f>IF(A28="","",Einstellungen!$B$5)</f>
        <v/>
      </c>
      <c r="G28" s="98">
        <f>IF(A28="","",E28*F28)</f>
        <v/>
      </c>
      <c r="H28" s="16">
        <f>IF(A28="","",ISOWEEKNUM(A28))</f>
        <v/>
      </c>
      <c r="I28" s="14">
        <f>IF(A28="","",TEXT(A28,"[$-de-DE]MMMM YYYY"))</f>
        <v/>
      </c>
      <c r="J28" s="14" t="n"/>
      <c r="K28" s="14" t="n"/>
    </row>
    <row r="29" ht="54" customHeight="1" s="54">
      <c r="A29" s="13" t="n">
        <v>46199</v>
      </c>
      <c r="B29" s="14" t="inlineStr">
        <is>
          <t>Studie 2027</t>
        </is>
      </c>
      <c r="C29" s="14" t="inlineStr">
        <is>
          <t>Testskript und Zusammenfassung</t>
        </is>
      </c>
      <c r="D29" s="14" t="inlineStr">
        <is>
          <t>Erstellung eines Skripts und Zusammenfassung der Inhalte als Testfassung für Jule und Simone, einschließlich Aufbereitung der relevanten Punkte für Prüfung, Feedback und weitere Abstimmung.</t>
        </is>
      </c>
      <c r="E29" s="15" t="n">
        <v>1.55</v>
      </c>
      <c r="F29" s="94">
        <f>IF(A29="","",Einstellungen!$B$5)</f>
        <v/>
      </c>
      <c r="G29" s="98">
        <f>IF(A29="","",E29*F29)</f>
        <v/>
      </c>
      <c r="H29" s="16">
        <f>IF(A29="","",ISOWEEKNUM(A29))</f>
        <v/>
      </c>
      <c r="I29" s="14">
        <f>IF(A29="","",TEXT(A29,"[$-de-DE]MMMM YYYY"))</f>
        <v/>
      </c>
      <c r="J29" s="14" t="n"/>
      <c r="K29" s="14" t="n"/>
    </row>
    <row r="30" ht="54" customHeight="1" s="54">
      <c r="A30" s="13" t="n">
        <v>46199</v>
      </c>
      <c r="B30" s="14" t="inlineStr">
        <is>
          <t>Studie 2027</t>
        </is>
      </c>
      <c r="C30" s="14" t="inlineStr">
        <is>
          <t>Vor-/Nachbereitung Christina-Abstimmung</t>
        </is>
      </c>
      <c r="D30" s="14" t="inlineStr">
        <is>
          <t>Vor- und Nachbereitung der Abstimmung mit Christina einschließlich Terminabgleich, Strukturierung relevanter Inhalte und Ableitung der nächsten Schritte für die weitere Studien- und Präsentationsarbeit.</t>
        </is>
      </c>
      <c r="E30" s="15" t="n">
        <v>1.1</v>
      </c>
      <c r="F30" s="94">
        <f>IF(A30="","",Einstellungen!$B$5)</f>
        <v/>
      </c>
      <c r="G30" s="98">
        <f>IF(A30="","",E30*F30)</f>
        <v/>
      </c>
      <c r="H30" s="16">
        <f>IF(A30="","",ISOWEEKNUM(A30))</f>
        <v/>
      </c>
      <c r="I30" s="14">
        <f>IF(A30="","",TEXT(A30,"[$-de-DE]MMMM YYYY"))</f>
        <v/>
      </c>
      <c r="J30" s="14" t="n"/>
      <c r="K30" s="14" t="n"/>
    </row>
    <row r="31" ht="54" customHeight="1" s="54">
      <c r="A31" s="13" t="n">
        <v>46199</v>
      </c>
      <c r="B31" s="14" t="inlineStr">
        <is>
          <t>Studie 2027</t>
        </is>
      </c>
      <c r="C31" s="14" t="inlineStr">
        <is>
          <t>Pre-Test-Abstimmung Lone/Lisa</t>
        </is>
      </c>
      <c r="D31" s="14" t="inlineStr">
        <is>
          <t>Abstimmung mit Lone und Lisa zum Pre-Test sowie zum Stand der bis Freitag vorgesehenen To-dos; Klärung offener Punkte, Zuständigkeiten und nächster Schritte.</t>
        </is>
      </c>
      <c r="E31" s="15" t="n">
        <v>0.7</v>
      </c>
      <c r="F31" s="94">
        <f>IF(A31="","",Einstellungen!$B$5)</f>
        <v/>
      </c>
      <c r="G31" s="98">
        <f>IF(A31="","",E31*F31)</f>
        <v/>
      </c>
      <c r="H31" s="16">
        <f>IF(A31="","",ISOWEEKNUM(A31))</f>
        <v/>
      </c>
      <c r="I31" s="14">
        <f>IF(A31="","",TEXT(A31,"[$-de-DE]MMMM YYYY"))</f>
        <v/>
      </c>
      <c r="J31" s="14" t="n"/>
      <c r="K31" s="14" t="n"/>
    </row>
    <row r="32" ht="54" customHeight="1" s="54">
      <c r="A32" s="13" t="n">
        <v>46199</v>
      </c>
      <c r="B32" s="14" t="inlineStr">
        <is>
          <t>Studie 2027</t>
        </is>
      </c>
      <c r="C32" s="14" t="inlineStr">
        <is>
          <t>Review Präsentationsüberarbeitung</t>
        </is>
      </c>
      <c r="D32" s="14" t="inlineStr">
        <is>
          <t>Review der von Cathleen überarbeiteten Präsentation; Prüfung der inhaltlichen Anpassungen und Ableitung relevanter Rückmeldungen für die weitere Finalisierung.</t>
        </is>
      </c>
      <c r="E32" s="15" t="n">
        <v>0.65</v>
      </c>
      <c r="F32" s="94">
        <f>IF(A32="","",Einstellungen!$B$5)</f>
        <v/>
      </c>
      <c r="G32" s="98">
        <f>IF(A32="","",E32*F32)</f>
        <v/>
      </c>
      <c r="H32" s="16">
        <f>IF(A32="","",ISOWEEKNUM(A32))</f>
        <v/>
      </c>
      <c r="I32" s="14">
        <f>IF(A32="","",TEXT(A32,"[$-de-DE]MMMM YYYY"))</f>
        <v/>
      </c>
      <c r="J32" s="14" t="n"/>
      <c r="K32" s="14" t="n"/>
    </row>
    <row r="33" ht="54" customHeight="1" s="54">
      <c r="A33" s="13" t="n">
        <v>46199</v>
      </c>
      <c r="B33" s="14" t="inlineStr">
        <is>
          <t>Studie 2027</t>
        </is>
      </c>
      <c r="C33" s="14" t="inlineStr">
        <is>
          <t>Status-Update und Rücksprachen</t>
        </is>
      </c>
      <c r="D33" s="14" t="inlineStr">
        <is>
          <t>Einholung und Aufbereitung aktueller Status-Updates; Sichtung der vorliegenden Ergebnisse sowie Durchführung notwendiger Rücksprachen zur weiteren Koordination.</t>
        </is>
      </c>
      <c r="E33" s="15" t="n">
        <v>0.75</v>
      </c>
      <c r="F33" s="94">
        <f>IF(A33="","",Einstellungen!$B$5)</f>
        <v/>
      </c>
      <c r="G33" s="98">
        <f>IF(A33="","",E33*F33)</f>
        <v/>
      </c>
      <c r="H33" s="16">
        <f>IF(A33="","",ISOWEEKNUM(A33))</f>
        <v/>
      </c>
      <c r="I33" s="14">
        <f>IF(A33="","",TEXT(A33,"[$-de-DE]MMMM YYYY"))</f>
        <v/>
      </c>
      <c r="J33" s="14" t="n"/>
      <c r="K33" s="14" t="n"/>
    </row>
    <row r="34" ht="54" customHeight="1" s="54">
      <c r="A34" s="13" t="n">
        <v>46199</v>
      </c>
      <c r="B34" s="14" t="inlineStr">
        <is>
          <t>Studie 2027</t>
        </is>
      </c>
      <c r="C34" s="14" t="inlineStr">
        <is>
          <t>Auswertung InDesign-Skripttest</t>
        </is>
      </c>
      <c r="D34" s="14" t="inlineStr">
        <is>
          <t>Auswertung des Testlaufs des InDesign-Skripts; Prüfung der Ergebnisse und Identifikation relevanter Punkte für die nächste technische Überarbeitung.</t>
        </is>
      </c>
      <c r="E34" s="15" t="n">
        <v>1.2</v>
      </c>
      <c r="F34" s="94">
        <f>IF(A34="","",Einstellungen!$B$5)</f>
        <v/>
      </c>
      <c r="G34" s="98">
        <f>IF(A34="","",E34*F34)</f>
        <v/>
      </c>
      <c r="H34" s="16">
        <f>IF(A34="","",ISOWEEKNUM(A34))</f>
        <v/>
      </c>
      <c r="I34" s="14">
        <f>IF(A34="","",TEXT(A34,"[$-de-DE]MMMM YYYY"))</f>
        <v/>
      </c>
      <c r="J34" s="14" t="n"/>
      <c r="K34" s="14" t="n"/>
    </row>
    <row r="35" ht="54" customHeight="1" s="54">
      <c r="A35" s="13" t="n">
        <v>46200</v>
      </c>
      <c r="B35" s="14" t="inlineStr">
        <is>
          <t>Studie 2027</t>
        </is>
      </c>
      <c r="C35" s="14" t="inlineStr">
        <is>
          <t>Skripttest-Zusammenfassung und Vorbereitung</t>
        </is>
      </c>
      <c r="D35" s="14" t="inlineStr">
        <is>
          <t>Zusammenfassung der Ergebnisse des Skripttests und Vorbereitung des nächsten Skripttests einschließlich Strukturierung der offenen Prüf- und Anpassungspunkte.</t>
        </is>
      </c>
      <c r="E35" s="15" t="n">
        <v>1</v>
      </c>
      <c r="F35" s="94">
        <f>IF(A35="","",Einstellungen!$B$5)</f>
        <v/>
      </c>
      <c r="G35" s="98">
        <f>IF(A35="","",E35*F35)</f>
        <v/>
      </c>
      <c r="H35" s="16">
        <f>IF(A35="","",ISOWEEKNUM(A35))</f>
        <v/>
      </c>
      <c r="I35" s="14">
        <f>IF(A35="","",TEXT(A35,"[$-de-DE]MMMM YYYY"))</f>
        <v/>
      </c>
      <c r="J35" s="14" t="n"/>
      <c r="K35" s="14" t="n"/>
    </row>
    <row r="36" ht="54" customHeight="1" s="54">
      <c r="A36" s="13" t="n">
        <v>46202</v>
      </c>
      <c r="B36" s="14" t="inlineStr">
        <is>
          <t>Studie 2027</t>
        </is>
      </c>
      <c r="C36" s="14" t="inlineStr">
        <is>
          <t>Angebotsanfrage Neukundenmodul</t>
        </is>
      </c>
      <c r="D36" s="14" t="inlineStr">
        <is>
          <t>Rückmeldung an Christina mit Bitte um ein Angebot für das Neukundenmodul; Präzisierung des Abstimmungsbedarfs und Vorbereitung der weiteren Entscheidungsgrundlage.</t>
        </is>
      </c>
      <c r="E36" s="15" t="n">
        <v>0.2</v>
      </c>
      <c r="F36" s="94">
        <f>IF(A36="","",Einstellungen!$B$5)</f>
        <v/>
      </c>
      <c r="G36" s="98">
        <f>IF(A36="","",E36*F36)</f>
        <v/>
      </c>
      <c r="H36" s="16">
        <f>IF(A36="","",ISOWEEKNUM(A36))</f>
        <v/>
      </c>
      <c r="I36" s="14">
        <f>IF(A36="","",TEXT(A36,"[$-de-DE]MMMM YYYY"))</f>
        <v/>
      </c>
      <c r="J36" s="14" t="n"/>
      <c r="K36" s="14" t="n"/>
    </row>
    <row r="37" ht="54" customHeight="1" s="54">
      <c r="A37" s="13" t="n">
        <v>46202</v>
      </c>
      <c r="B37" s="14" t="inlineStr">
        <is>
          <t>Studie 2027</t>
        </is>
      </c>
      <c r="C37" s="14" t="inlineStr">
        <is>
          <t>Projektplan-Update und Lizenzkoordination</t>
        </is>
      </c>
      <c r="D37" s="14" t="inlineStr">
        <is>
          <t>Aktualisierung des Projektplans anhand der Rückmeldungen von Robert; Kommunikation der neuen Aufgaben und erwarteten Outcomes an die Beteiligten sowie Beauftragung der benötigten InDesign-Lizenz.</t>
        </is>
      </c>
      <c r="E37" s="15" t="n">
        <v>0.8</v>
      </c>
      <c r="F37" s="94">
        <f>IF(A37="","",Einstellungen!$B$5)</f>
        <v/>
      </c>
      <c r="G37" s="98">
        <f>IF(A37="","",E37*F37)</f>
        <v/>
      </c>
      <c r="H37" s="16">
        <f>IF(A37="","",ISOWEEKNUM(A37))</f>
        <v/>
      </c>
      <c r="I37" s="14">
        <f>IF(A37="","",TEXT(A37,"[$-de-DE]MMMM YYYY"))</f>
        <v/>
      </c>
      <c r="J37" s="14" t="n"/>
      <c r="K37" s="14" t="n"/>
    </row>
    <row r="38" ht="54" customHeight="1" s="54">
      <c r="A38" s="13" t="n">
        <v>46202</v>
      </c>
      <c r="B38" s="14" t="inlineStr">
        <is>
          <t>Studie 2027</t>
        </is>
      </c>
      <c r="C38" s="14" t="inlineStr">
        <is>
          <t>KI-gestützte Varianten- und Partnerdatenverarbeitung</t>
        </is>
      </c>
      <c r="D38" s="14" t="inlineStr">
        <is>
          <t>Konzeption und Umsetzungsschritte für eine KI-gestützte Lösung zur Variantenaufbereitung und automatisierten Auswertung von Partnerdaten; Zusammenstellung relevanter Dokumente und Assets für den Testlauf sowie Prüfung des Fragebogens auf Struktur und Umsetzbarkeit.</t>
        </is>
      </c>
      <c r="E38" s="15" t="n">
        <v>3.8</v>
      </c>
      <c r="F38" s="94">
        <f>IF(A38="","",Einstellungen!$B$5)</f>
        <v/>
      </c>
      <c r="G38" s="98">
        <f>IF(A38="","",E38*F38)</f>
        <v/>
      </c>
      <c r="H38" s="16">
        <f>IF(A38="","",ISOWEEKNUM(A38))</f>
        <v/>
      </c>
      <c r="I38" s="14">
        <f>IF(A38="","",TEXT(A38,"[$-de-DE]MMMM YYYY"))</f>
        <v/>
      </c>
      <c r="J38" s="14" t="n"/>
      <c r="K38" s="14" t="n"/>
    </row>
    <row r="39" ht="54" customHeight="1" s="54">
      <c r="A39" s="13" t="n">
        <v>46202</v>
      </c>
      <c r="B39" s="14" t="inlineStr">
        <is>
          <t>Studie 2027</t>
        </is>
      </c>
      <c r="C39" s="14" t="inlineStr">
        <is>
          <t>Einweisung KI-/InDesign-Prozess</t>
        </is>
      </c>
      <c r="D39" s="14" t="inlineStr">
        <is>
          <t>Call mit Simone zur Erklärung des KI-gestützten Prozesses, Einführung in die InDesign-Anforderungen sowie Abstimmung zur Benennung der Felder und Befüllung der Excel-Vorlage.</t>
        </is>
      </c>
      <c r="E39" s="15" t="n">
        <v>1</v>
      </c>
      <c r="F39" s="94">
        <f>IF(A39="","",Einstellungen!$B$5)</f>
        <v/>
      </c>
      <c r="G39" s="98">
        <f>IF(A39="","",E39*F39)</f>
        <v/>
      </c>
      <c r="H39" s="16">
        <f>IF(A39="","",ISOWEEKNUM(A39))</f>
        <v/>
      </c>
      <c r="I39" s="14">
        <f>IF(A39="","",TEXT(A39,"[$-de-DE]MMMM YYYY"))</f>
        <v/>
      </c>
      <c r="J39" s="14" t="n"/>
      <c r="K39" s="14" t="n"/>
    </row>
    <row r="40" ht="54" customHeight="1" s="54">
      <c r="A40" s="13" t="n">
        <v>46203</v>
      </c>
      <c r="B40" s="14" t="inlineStr">
        <is>
          <t>Studie 2027</t>
        </is>
      </c>
      <c r="C40" s="14" t="inlineStr">
        <is>
          <t>Teamabstimmung Status und Herausforderungen</t>
        </is>
      </c>
      <c r="D40" s="14" t="inlineStr">
        <is>
          <t>Abstimmungen mit Jule, Cathleen und Simone zu aktuellen Herausforderungen, Statusständen und nächsten Schritten; ergänzende Rückmeldung an Christina.</t>
        </is>
      </c>
      <c r="E40" s="15" t="n">
        <v>1.2</v>
      </c>
      <c r="F40" s="94">
        <f>IF(A40="","",Einstellungen!$B$5)</f>
        <v/>
      </c>
      <c r="G40" s="98">
        <f>IF(A40="","",E40*F40)</f>
        <v/>
      </c>
      <c r="H40" s="16">
        <f>IF(A40="","",ISOWEEKNUM(A40))</f>
        <v/>
      </c>
      <c r="I40" s="14">
        <f>IF(A40="","",TEXT(A40,"[$-de-DE]MMMM YYYY"))</f>
        <v/>
      </c>
      <c r="J40" s="14" t="n"/>
      <c r="K40" s="14" t="n"/>
    </row>
    <row r="41" ht="54" customHeight="1" s="54">
      <c r="A41" s="13" t="n">
        <v>46203</v>
      </c>
      <c r="B41" s="14" t="inlineStr">
        <is>
          <t>Studie 2027</t>
        </is>
      </c>
      <c r="C41" s="14" t="inlineStr">
        <is>
          <t>Weiterentwicklung KI-/InDesign-Automatisierung</t>
        </is>
      </c>
      <c r="D41" s="14" t="inlineStr">
        <is>
          <t>Weiterarbeit an der KI-gestützten Lösung zur Variantenaufbereitung und automatisierten Auswertung von Partnerdaten; Weiterentwicklung des InDesign-Skripts für den nächsten Testlauf.</t>
        </is>
      </c>
      <c r="E41" s="15" t="n">
        <v>1.75</v>
      </c>
      <c r="F41" s="94">
        <f>IF(A41="","",Einstellungen!$B$5)</f>
        <v/>
      </c>
      <c r="G41" s="98">
        <f>IF(A41="","",E41*F41)</f>
        <v/>
      </c>
      <c r="H41" s="16">
        <f>IF(A41="","",ISOWEEKNUM(A41))</f>
        <v/>
      </c>
      <c r="I41" s="14">
        <f>IF(A41="","",TEXT(A41,"[$-de-DE]MMMM YYYY"))</f>
        <v/>
      </c>
      <c r="J41" s="14" t="n"/>
      <c r="K41" s="14" t="n"/>
    </row>
    <row r="42" ht="54" customHeight="1" s="54">
      <c r="A42" s="13" t="n">
        <v>46203</v>
      </c>
      <c r="B42" s="14" t="inlineStr">
        <is>
          <t>Studie 2027</t>
        </is>
      </c>
      <c r="C42" s="14" t="inlineStr">
        <is>
          <t>Review und Weitergabe Präsentation</t>
        </is>
      </c>
      <c r="D42" s="14" t="inlineStr">
        <is>
          <t>Review der von Cathleen überarbeiteten Präsentation; Prüfung der inhaltlichen Anpassungen und Weitergabe relevanter Rückmeldungen für die weitere Bearbeitung.</t>
        </is>
      </c>
      <c r="E42" s="15" t="n">
        <v>0.6</v>
      </c>
      <c r="F42" s="94">
        <f>IF(A42="","",Einstellungen!$B$5)</f>
        <v/>
      </c>
      <c r="G42" s="98">
        <f>IF(A42="","",E42*F42)</f>
        <v/>
      </c>
      <c r="H42" s="16">
        <f>IF(A42="","",ISOWEEKNUM(A42))</f>
        <v/>
      </c>
      <c r="I42" s="14">
        <f>IF(A42="","",TEXT(A42,"[$-de-DE]MMMM YYYY"))</f>
        <v/>
      </c>
      <c r="J42" s="14" t="n"/>
      <c r="K42" s="14" t="n"/>
    </row>
    <row r="43" ht="54" customHeight="1" s="54">
      <c r="A43" s="13" t="n">
        <v>46204</v>
      </c>
      <c r="B43" s="14" t="inlineStr">
        <is>
          <t>Studie 2027</t>
        </is>
      </c>
      <c r="C43" s="14" t="n"/>
      <c r="D43" s="14" t="inlineStr">
        <is>
          <t>Auswertung Test A Variante + Anpassung Kript + Absprachen und Statusupdate</t>
        </is>
      </c>
      <c r="E43" s="15" t="n">
        <v>2.75</v>
      </c>
      <c r="F43" s="94">
        <f>IF(A43="","",Einstellungen!$B$5)</f>
        <v/>
      </c>
      <c r="G43" s="98">
        <f>IF(A43="","",E43*F43)</f>
        <v/>
      </c>
      <c r="H43" s="16">
        <f>IF(A43="","",ISOWEEKNUM(A43))</f>
        <v/>
      </c>
      <c r="I43" s="14">
        <f>IF(A43="","",TEXT(A43,"[$-de-DE]MMMM YYYY"))</f>
        <v/>
      </c>
      <c r="J43" s="14" t="n"/>
      <c r="K43" s="14" t="n"/>
    </row>
    <row r="44" ht="54" customHeight="1" s="54">
      <c r="A44" s="13" t="n">
        <v>46205</v>
      </c>
      <c r="B44" s="14" t="inlineStr">
        <is>
          <t>Studie 2027</t>
        </is>
      </c>
      <c r="C44" s="14" t="n"/>
      <c r="D44" s="14" t="inlineStr">
        <is>
          <t>Anpassung des Skriptes anhand der Variablen Liste für alle 4 Varianten + Anpassung, dass Bilder eingelesen und eingespielt werden + Definition und Kommunikation des nächsten Test für alle 4 Varianten</t>
        </is>
      </c>
      <c r="E44" s="15" t="n">
        <v>2.15</v>
      </c>
      <c r="F44" s="94">
        <f>IF(A44="","",Einstellungen!$B$5)</f>
        <v/>
      </c>
      <c r="G44" s="98">
        <f>IF(A44="","",E44*F44)</f>
        <v/>
      </c>
      <c r="H44" s="16">
        <f>IF(A44="","",ISOWEEKNUM(A44))</f>
        <v/>
      </c>
      <c r="I44" s="14">
        <f>IF(A44="","",TEXT(A44,"[$-de-DE]MMMM YYYY"))</f>
        <v/>
      </c>
      <c r="J44" s="14" t="n"/>
      <c r="K44" s="14" t="n"/>
    </row>
    <row r="45" ht="54" customHeight="1" s="54">
      <c r="A45" s="13" t="n">
        <v>46205</v>
      </c>
      <c r="B45" s="14" t="inlineStr">
        <is>
          <t>Studie 2027</t>
        </is>
      </c>
      <c r="C45" s="14" t="n"/>
      <c r="D45" s="14" t="inlineStr">
        <is>
          <t>Vorbereitung Ende zu Ende Test für Shabe Labs mit aufbereitung der Daten, Erstellen des Skriptes und Definiton der Testmessung</t>
        </is>
      </c>
      <c r="E45" s="15" t="n">
        <v>1.5</v>
      </c>
      <c r="F45" s="94">
        <f>IF(A45="","",Einstellungen!$B$5)</f>
        <v/>
      </c>
      <c r="G45" s="98">
        <f>IF(A45="","",E45*F45)</f>
        <v/>
      </c>
      <c r="H45" s="16">
        <f>IF(A45="","",ISOWEEKNUM(A45))</f>
        <v/>
      </c>
      <c r="I45" s="14">
        <f>IF(A45="","",TEXT(A45,"[$-de-DE]MMMM YYYY"))</f>
        <v/>
      </c>
      <c r="J45" s="14" t="n"/>
      <c r="K45" s="14" t="n"/>
    </row>
    <row r="46" ht="54" customHeight="1" s="54">
      <c r="A46" s="13" t="n">
        <v>46206</v>
      </c>
      <c r="B46" s="14" t="inlineStr">
        <is>
          <t>Studie 2027</t>
        </is>
      </c>
      <c r="C46" s="14" t="n"/>
      <c r="D46" s="14" t="inlineStr">
        <is>
          <t>Absprache Simone Durchführung End zu Ende Test</t>
        </is>
      </c>
      <c r="E46" s="15" t="n">
        <v>0.25</v>
      </c>
      <c r="F46" s="94">
        <f>IF(A46="","",Einstellungen!$B$5)</f>
        <v/>
      </c>
      <c r="G46" s="98">
        <f>IF(A46="","",E46*F46)</f>
        <v/>
      </c>
      <c r="H46" s="16">
        <f>IF(A46="","",ISOWEEKNUM(A46))</f>
        <v/>
      </c>
      <c r="I46" s="14">
        <f>IF(A46="","",TEXT(A46,"[$-de-DE]MMMM YYYY"))</f>
        <v/>
      </c>
      <c r="J46" s="14" t="n"/>
      <c r="K46" s="14" t="n"/>
    </row>
    <row r="47" ht="54" customHeight="1" s="54">
      <c r="A47" s="13" t="n">
        <v>46206</v>
      </c>
      <c r="B47" s="14" t="inlineStr">
        <is>
          <t>Studie 2027</t>
        </is>
      </c>
      <c r="C47" s="14" t="n"/>
      <c r="D47" s="14" t="inlineStr">
        <is>
          <t>Auswertung erneuter Skripttest + Anpassung Skript für Test 2 alle Varianten mit Vorder und Rückseite</t>
        </is>
      </c>
      <c r="E47" s="15" t="n">
        <v>1.15</v>
      </c>
      <c r="F47" s="94">
        <f>IF(A47="","",Einstellungen!$B$5)</f>
        <v/>
      </c>
      <c r="G47" s="98">
        <f>IF(A47="","",E47*F47)</f>
        <v/>
      </c>
      <c r="H47" s="16">
        <f>IF(A47="","",ISOWEEKNUM(A47))</f>
        <v/>
      </c>
      <c r="I47" s="14">
        <f>IF(A47="","",TEXT(A47,"[$-de-DE]MMMM YYYY"))</f>
        <v/>
      </c>
      <c r="J47" s="14" t="n"/>
      <c r="K47" s="14" t="n"/>
    </row>
    <row r="48" ht="54" customHeight="1" s="54">
      <c r="A48" s="13" t="n">
        <v>46206</v>
      </c>
      <c r="B48" s="14" t="inlineStr">
        <is>
          <t>Studie 2027</t>
        </is>
      </c>
      <c r="C48" s="14" t="n"/>
      <c r="D48" s="14" t="inlineStr">
        <is>
          <t>Auswertung erneuter Skripttest 2 + Anpassung Skript + Anpassung Shape Labs Testpaket</t>
        </is>
      </c>
      <c r="E48" s="15" t="n">
        <v>1.3</v>
      </c>
      <c r="F48" s="94">
        <f>IF(A48="","",Einstellungen!$B$5)</f>
        <v/>
      </c>
      <c r="G48" s="98">
        <f>IF(A48="","",E48*F48)</f>
        <v/>
      </c>
      <c r="H48" s="16">
        <f>IF(A48="","",ISOWEEKNUM(A48))</f>
        <v/>
      </c>
      <c r="I48" s="14">
        <f>IF(A48="","",TEXT(A48,"[$-de-DE]MMMM YYYY"))</f>
        <v/>
      </c>
      <c r="J48" s="14" t="n"/>
      <c r="K48" s="14" t="n"/>
    </row>
    <row r="49" ht="54" customHeight="1" s="54">
      <c r="A49" s="13" t="n">
        <v>46206</v>
      </c>
      <c r="B49" s="14" t="inlineStr">
        <is>
          <t>Studie 2027</t>
        </is>
      </c>
      <c r="C49" s="14" t="n"/>
      <c r="D49" s="14" t="inlineStr">
        <is>
          <t>Begleitung End zu Ende Test mit Auswertung des Standes und Statusupdate</t>
        </is>
      </c>
      <c r="E49" s="15" t="n">
        <v>1.4</v>
      </c>
      <c r="F49" s="94">
        <f>IF(A49="","",Einstellungen!$B$5)</f>
        <v/>
      </c>
      <c r="G49" s="98">
        <f>IF(A49="","",E49*F49)</f>
        <v/>
      </c>
      <c r="H49" s="16">
        <f>IF(A49="","",ISOWEEKNUM(A49))</f>
        <v/>
      </c>
      <c r="I49" s="14">
        <f>IF(A49="","",TEXT(A49,"[$-de-DE]MMMM YYYY"))</f>
        <v/>
      </c>
      <c r="J49" s="14" t="n"/>
      <c r="K49" s="14" t="n"/>
    </row>
    <row r="50" ht="54" customHeight="1" s="54">
      <c r="A50" s="13" t="n">
        <v>46209</v>
      </c>
      <c r="B50" s="14" t="inlineStr">
        <is>
          <t>Studie 2027</t>
        </is>
      </c>
      <c r="C50" s="14" t="n"/>
      <c r="D50" s="14" t="inlineStr">
        <is>
          <t>Debrief mit Simone und Jule</t>
        </is>
      </c>
      <c r="E50" s="15" t="n">
        <v>1</v>
      </c>
      <c r="F50" s="94">
        <f>IF(A50="","",Einstellungen!$B$5)</f>
        <v/>
      </c>
      <c r="G50" s="98">
        <f>IF(A50="","",E50*F50)</f>
        <v/>
      </c>
      <c r="H50" s="16">
        <f>IF(A50="","",ISOWEEKNUM(A50))</f>
        <v/>
      </c>
      <c r="I50" s="14">
        <f>IF(A50="","",TEXT(A50,"[$-de-DE]MMMM YYYY"))</f>
        <v/>
      </c>
      <c r="J50" s="14" t="n"/>
      <c r="K50" s="14" t="n"/>
    </row>
    <row r="51" ht="54" customHeight="1" s="54">
      <c r="A51" s="13" t="n">
        <v>46209</v>
      </c>
      <c r="B51" s="14" t="inlineStr">
        <is>
          <t>Studie 2027</t>
        </is>
      </c>
      <c r="C51" s="14" t="n"/>
      <c r="D51" s="14" t="inlineStr">
        <is>
          <t>Neues Testpaket anhand des Debriefings + JSON Builder Tool für Jule und Simone zum selbst Erstellen der JSONS zukünftig inklusive Checks und Email Oputpu</t>
        </is>
      </c>
      <c r="E51" s="15" t="n">
        <v>3.4</v>
      </c>
      <c r="F51" s="94">
        <f>IF(A51="","",Einstellungen!$B$5)</f>
        <v/>
      </c>
      <c r="G51" s="98">
        <f>IF(A51="","",E51*F51)</f>
        <v/>
      </c>
      <c r="H51" s="16">
        <f>IF(A51="","",ISOWEEKNUM(A51))</f>
        <v/>
      </c>
      <c r="I51" s="14">
        <f>IF(A51="","",TEXT(A51,"[$-de-DE]MMMM YYYY"))</f>
        <v/>
      </c>
      <c r="J51" s="14" t="n"/>
      <c r="K51" s="14" t="n"/>
    </row>
    <row r="52" ht="54" customHeight="1" s="54">
      <c r="A52" s="13" t="n">
        <v>46210</v>
      </c>
      <c r="B52" s="14" t="inlineStr">
        <is>
          <t>Studie 2027</t>
        </is>
      </c>
      <c r="C52" s="14" t="n"/>
      <c r="D52" s="14" t="inlineStr">
        <is>
          <t xml:space="preserve">Kommunikation der nächsten Schritte an Jule und Simone, Auswertung Zeiten des Testlaufs, Statusupodate Studie 2027 </t>
        </is>
      </c>
      <c r="E52" s="15" t="n">
        <v>1.45</v>
      </c>
      <c r="F52" s="94">
        <f>IF(A52="","",Einstellungen!$B$5)</f>
        <v/>
      </c>
      <c r="G52" s="98">
        <f>IF(A52="","",E52*F52)</f>
        <v/>
      </c>
      <c r="H52" s="16">
        <f>IF(A52="","",ISOWEEKNUM(A52))</f>
        <v/>
      </c>
      <c r="I52" s="14">
        <f>IF(A52="","",TEXT(A52,"[$-de-DE]MMMM YYYY"))</f>
        <v/>
      </c>
      <c r="J52" s="14" t="n"/>
      <c r="K52" s="14" t="n"/>
    </row>
    <row r="53" ht="54" customHeight="1" s="54">
      <c r="A53" s="13" t="n">
        <v>46210</v>
      </c>
      <c r="B53" s="14" t="inlineStr">
        <is>
          <t>Studie 2027</t>
        </is>
      </c>
      <c r="C53" s="14" t="n"/>
      <c r="D53" s="14" t="inlineStr">
        <is>
          <t>Arbeit am JSON Builder Tool (Fehlerbehebung, Weitere Prüfungen und Optisch hübscher) + Weitere Runde Skript Optimierung und neue Testrunde mit JSON Builder und optimierten Skript</t>
        </is>
      </c>
      <c r="E53" s="15" t="n">
        <v>2.75</v>
      </c>
      <c r="F53" s="94">
        <f>IF(A53="","",Einstellungen!$B$5)</f>
        <v/>
      </c>
      <c r="G53" s="98">
        <f>IF(A53="","",E53*F53)</f>
        <v/>
      </c>
      <c r="H53" s="16">
        <f>IF(A53="","",ISOWEEKNUM(A53))</f>
        <v/>
      </c>
      <c r="I53" s="14">
        <f>IF(A53="","",TEXT(A53,"[$-de-DE]MMMM YYYY"))</f>
        <v/>
      </c>
      <c r="J53" s="14" t="n"/>
      <c r="K53" s="14" t="n"/>
    </row>
    <row r="54" ht="54" customHeight="1" s="54">
      <c r="A54" s="13" t="n"/>
      <c r="B54" s="14" t="n"/>
      <c r="C54" s="14" t="n"/>
      <c r="D54" s="14" t="n"/>
      <c r="E54" s="15" t="n"/>
      <c r="F54" s="94">
        <f>IF(A54="","",Einstellungen!$B$5)</f>
        <v/>
      </c>
      <c r="G54" s="98">
        <f>IF(A54="","",E54*F54)</f>
        <v/>
      </c>
      <c r="H54" s="16">
        <f>IF(A54="","",ISOWEEKNUM(A54))</f>
        <v/>
      </c>
      <c r="I54" s="14">
        <f>IF(A54="","",TEXT(A54,"[$-de-DE]MMMM YYYY"))</f>
        <v/>
      </c>
      <c r="J54" s="14" t="n"/>
      <c r="K54" s="14" t="n"/>
    </row>
    <row r="55" ht="54" customHeight="1" s="54">
      <c r="A55" s="13" t="n"/>
      <c r="B55" s="14" t="n"/>
      <c r="C55" s="14" t="n"/>
      <c r="D55" s="14" t="n"/>
      <c r="E55" s="15" t="n"/>
      <c r="F55" s="94">
        <f>IF(A55="","",Einstellungen!$B$5)</f>
        <v/>
      </c>
      <c r="G55" s="98">
        <f>IF(A55="","",E55*F55)</f>
        <v/>
      </c>
      <c r="H55" s="16">
        <f>IF(A55="","",ISOWEEKNUM(A55))</f>
        <v/>
      </c>
      <c r="I55" s="14">
        <f>IF(A55="","",TEXT(A55,"[$-de-DE]MMMM YYYY"))</f>
        <v/>
      </c>
      <c r="J55" s="14" t="n"/>
      <c r="K55" s="14" t="n"/>
    </row>
    <row r="56" ht="54" customHeight="1" s="54">
      <c r="A56" s="13" t="n"/>
      <c r="B56" s="14" t="n"/>
      <c r="C56" s="14" t="n"/>
      <c r="D56" s="14" t="n"/>
      <c r="E56" s="15" t="n"/>
      <c r="F56" s="94">
        <f>IF(A56="","",Einstellungen!$B$5)</f>
        <v/>
      </c>
      <c r="G56" s="98">
        <f>IF(A56="","",E56*F56)</f>
        <v/>
      </c>
      <c r="H56" s="16">
        <f>IF(A56="","",ISOWEEKNUM(A56))</f>
        <v/>
      </c>
      <c r="I56" s="14">
        <f>IF(A56="","",TEXT(A56,"[$-de-DE]MMMM YYYY"))</f>
        <v/>
      </c>
      <c r="J56" s="14" t="n"/>
      <c r="K56" s="14" t="n"/>
    </row>
    <row r="57" ht="54" customHeight="1" s="54">
      <c r="A57" s="13" t="n"/>
      <c r="B57" s="14" t="n"/>
      <c r="C57" s="14" t="n"/>
      <c r="D57" s="14" t="n"/>
      <c r="E57" s="15" t="n"/>
      <c r="F57" s="94">
        <f>IF(A57="","",Einstellungen!$B$5)</f>
        <v/>
      </c>
      <c r="G57" s="98">
        <f>IF(A57="","",E57*F57)</f>
        <v/>
      </c>
      <c r="H57" s="16">
        <f>IF(A57="","",ISOWEEKNUM(A57))</f>
        <v/>
      </c>
      <c r="I57" s="14">
        <f>IF(A57="","",TEXT(A57,"[$-de-DE]MMMM YYYY"))</f>
        <v/>
      </c>
      <c r="J57" s="14" t="n"/>
      <c r="K57" s="14" t="n"/>
    </row>
    <row r="58" ht="54" customHeight="1" s="54">
      <c r="A58" s="13" t="n"/>
      <c r="B58" s="14" t="n"/>
      <c r="C58" s="14" t="n"/>
      <c r="D58" s="14" t="n"/>
      <c r="E58" s="15" t="n"/>
      <c r="F58" s="94">
        <f>IF(A58="","",Einstellungen!$B$5)</f>
        <v/>
      </c>
      <c r="G58" s="98">
        <f>IF(A58="","",E58*F58)</f>
        <v/>
      </c>
      <c r="H58" s="16">
        <f>IF(A58="","",ISOWEEKNUM(A58))</f>
        <v/>
      </c>
      <c r="I58" s="14">
        <f>IF(A58="","",TEXT(A58,"[$-de-DE]MMMM YYYY"))</f>
        <v/>
      </c>
      <c r="J58" s="14" t="n"/>
      <c r="K58" s="14" t="n"/>
    </row>
    <row r="59" ht="54" customHeight="1" s="54">
      <c r="A59" s="13" t="n"/>
      <c r="B59" s="14" t="n"/>
      <c r="C59" s="14" t="n"/>
      <c r="D59" s="14" t="n"/>
      <c r="E59" s="15" t="n"/>
      <c r="F59" s="94">
        <f>IF(A59="","",Einstellungen!$B$5)</f>
        <v/>
      </c>
      <c r="G59" s="98">
        <f>IF(A59="","",E59*F59)</f>
        <v/>
      </c>
      <c r="H59" s="16">
        <f>IF(A59="","",ISOWEEKNUM(A59))</f>
        <v/>
      </c>
      <c r="I59" s="14">
        <f>IF(A59="","",TEXT(A59,"[$-de-DE]MMMM YYYY"))</f>
        <v/>
      </c>
      <c r="J59" s="14" t="n"/>
      <c r="K59" s="14" t="n"/>
    </row>
    <row r="60" ht="54" customHeight="1" s="54">
      <c r="A60" s="13" t="n"/>
      <c r="B60" s="14" t="n"/>
      <c r="C60" s="14" t="n"/>
      <c r="D60" s="14" t="n"/>
      <c r="E60" s="15" t="n"/>
      <c r="F60" s="94">
        <f>IF(A60="","",Einstellungen!$B$5)</f>
        <v/>
      </c>
      <c r="G60" s="98">
        <f>IF(A60="","",E60*F60)</f>
        <v/>
      </c>
      <c r="H60" s="16">
        <f>IF(A60="","",ISOWEEKNUM(A60))</f>
        <v/>
      </c>
      <c r="I60" s="14">
        <f>IF(A60="","",TEXT(A60,"[$-de-DE]MMMM YYYY"))</f>
        <v/>
      </c>
      <c r="J60" s="14" t="n"/>
      <c r="K60" s="14" t="n"/>
    </row>
    <row r="61" ht="54" customHeight="1" s="54">
      <c r="A61" s="13" t="n"/>
      <c r="B61" s="14" t="n"/>
      <c r="C61" s="14" t="n"/>
      <c r="D61" s="14" t="n"/>
      <c r="E61" s="15" t="n"/>
      <c r="F61" s="94">
        <f>IF(A61="","",Einstellungen!$B$5)</f>
        <v/>
      </c>
      <c r="G61" s="98">
        <f>IF(A61="","",E61*F61)</f>
        <v/>
      </c>
      <c r="H61" s="16">
        <f>IF(A61="","",ISOWEEKNUM(A61))</f>
        <v/>
      </c>
      <c r="I61" s="14">
        <f>IF(A61="","",TEXT(A61,"[$-de-DE]MMMM YYYY"))</f>
        <v/>
      </c>
      <c r="J61" s="14" t="n"/>
      <c r="K61" s="14" t="n"/>
    </row>
    <row r="62" ht="54" customHeight="1" s="54">
      <c r="A62" s="13" t="n"/>
      <c r="B62" s="14" t="n"/>
      <c r="C62" s="14" t="n"/>
      <c r="D62" s="14" t="n"/>
      <c r="E62" s="15" t="n"/>
      <c r="F62" s="94">
        <f>IF(A62="","",Einstellungen!$B$5)</f>
        <v/>
      </c>
      <c r="G62" s="98">
        <f>IF(A62="","",E62*F62)</f>
        <v/>
      </c>
      <c r="H62" s="16">
        <f>IF(A62="","",ISOWEEKNUM(A62))</f>
        <v/>
      </c>
      <c r="I62" s="14">
        <f>IF(A62="","",TEXT(A62,"[$-de-DE]MMMM YYYY"))</f>
        <v/>
      </c>
      <c r="J62" s="14" t="n"/>
      <c r="K62" s="14" t="n"/>
    </row>
    <row r="63" ht="54" customHeight="1" s="54">
      <c r="A63" s="13" t="n"/>
      <c r="B63" s="14" t="n"/>
      <c r="C63" s="14" t="n"/>
      <c r="D63" s="14" t="n"/>
      <c r="E63" s="15" t="n"/>
      <c r="F63" s="94">
        <f>IF(A63="","",Einstellungen!$B$5)</f>
        <v/>
      </c>
      <c r="G63" s="98">
        <f>IF(A63="","",E63*F63)</f>
        <v/>
      </c>
      <c r="H63" s="16">
        <f>IF(A63="","",ISOWEEKNUM(A63))</f>
        <v/>
      </c>
      <c r="I63" s="14">
        <f>IF(A63="","",TEXT(A63,"[$-de-DE]MMMM YYYY"))</f>
        <v/>
      </c>
      <c r="J63" s="14" t="n"/>
      <c r="K63" s="14" t="n"/>
    </row>
    <row r="64" ht="54" customHeight="1" s="54">
      <c r="A64" s="13" t="n"/>
      <c r="B64" s="14" t="n"/>
      <c r="C64" s="14" t="n"/>
      <c r="D64" s="14" t="n"/>
      <c r="E64" s="15" t="n"/>
      <c r="F64" s="94">
        <f>IF(A64="","",Einstellungen!$B$5)</f>
        <v/>
      </c>
      <c r="G64" s="98">
        <f>IF(A64="","",E64*F64)</f>
        <v/>
      </c>
      <c r="H64" s="16">
        <f>IF(A64="","",ISOWEEKNUM(A64))</f>
        <v/>
      </c>
      <c r="I64" s="14">
        <f>IF(A64="","",TEXT(A64,"[$-de-DE]MMMM YYYY"))</f>
        <v/>
      </c>
      <c r="J64" s="14" t="n"/>
      <c r="K64" s="14" t="n"/>
    </row>
    <row r="65" ht="54" customHeight="1" s="54">
      <c r="A65" s="13" t="n"/>
      <c r="B65" s="14" t="n"/>
      <c r="C65" s="14" t="n"/>
      <c r="D65" s="14" t="n"/>
      <c r="E65" s="15" t="n"/>
      <c r="F65" s="94">
        <f>IF(A65="","",Einstellungen!$B$5)</f>
        <v/>
      </c>
      <c r="G65" s="98">
        <f>IF(A65="","",E65*F65)</f>
        <v/>
      </c>
      <c r="H65" s="16">
        <f>IF(A65="","",ISOWEEKNUM(A65))</f>
        <v/>
      </c>
      <c r="I65" s="14">
        <f>IF(A65="","",TEXT(A65,"[$-de-DE]MMMM YYYY"))</f>
        <v/>
      </c>
      <c r="J65" s="14" t="n"/>
      <c r="K65" s="14" t="n"/>
    </row>
    <row r="66" ht="54" customHeight="1" s="54">
      <c r="A66" s="13" t="n"/>
      <c r="B66" s="14" t="n"/>
      <c r="C66" s="14" t="n"/>
      <c r="D66" s="14" t="n"/>
      <c r="E66" s="15" t="n"/>
      <c r="F66" s="94">
        <f>IF(A66="","",Einstellungen!$B$5)</f>
        <v/>
      </c>
      <c r="G66" s="98">
        <f>IF(A66="","",E66*F66)</f>
        <v/>
      </c>
      <c r="H66" s="16">
        <f>IF(A66="","",ISOWEEKNUM(A66))</f>
        <v/>
      </c>
      <c r="I66" s="14">
        <f>IF(A66="","",TEXT(A66,"[$-de-DE]MMMM YYYY"))</f>
        <v/>
      </c>
      <c r="J66" s="14" t="n"/>
      <c r="K66" s="14" t="n"/>
    </row>
    <row r="67" ht="54" customHeight="1" s="54">
      <c r="A67" s="13" t="n"/>
      <c r="B67" s="14" t="n"/>
      <c r="C67" s="14" t="n"/>
      <c r="D67" s="14" t="n"/>
      <c r="E67" s="15" t="n"/>
      <c r="F67" s="94">
        <f>IF(A67="","",Einstellungen!$B$5)</f>
        <v/>
      </c>
      <c r="G67" s="98">
        <f>IF(A67="","",E67*F67)</f>
        <v/>
      </c>
      <c r="H67" s="16">
        <f>IF(A67="","",ISOWEEKNUM(A67))</f>
        <v/>
      </c>
      <c r="I67" s="14">
        <f>IF(A67="","",TEXT(A67,"[$-de-DE]MMMM YYYY"))</f>
        <v/>
      </c>
      <c r="J67" s="14" t="n"/>
      <c r="K67" s="14" t="n"/>
    </row>
    <row r="68" ht="54" customHeight="1" s="54">
      <c r="A68" s="13" t="n"/>
      <c r="B68" s="14" t="n"/>
      <c r="C68" s="14" t="n"/>
      <c r="D68" s="14" t="n"/>
      <c r="E68" s="15" t="n"/>
      <c r="F68" s="94">
        <f>IF(A68="","",Einstellungen!$B$5)</f>
        <v/>
      </c>
      <c r="G68" s="98">
        <f>IF(A68="","",E68*F68)</f>
        <v/>
      </c>
      <c r="H68" s="16">
        <f>IF(A68="","",ISOWEEKNUM(A68))</f>
        <v/>
      </c>
      <c r="I68" s="14">
        <f>IF(A68="","",TEXT(A68,"[$-de-DE]MMMM YYYY"))</f>
        <v/>
      </c>
      <c r="J68" s="14" t="n"/>
      <c r="K68" s="14" t="n"/>
    </row>
    <row r="69" ht="54" customHeight="1" s="54">
      <c r="A69" s="13" t="n"/>
      <c r="B69" s="14" t="n"/>
      <c r="C69" s="14" t="n"/>
      <c r="D69" s="14" t="n"/>
      <c r="E69" s="15" t="n"/>
      <c r="F69" s="94">
        <f>IF(A69="","",Einstellungen!$B$5)</f>
        <v/>
      </c>
      <c r="G69" s="98">
        <f>IF(A69="","",E69*F69)</f>
        <v/>
      </c>
      <c r="H69" s="16">
        <f>IF(A69="","",ISOWEEKNUM(A69))</f>
        <v/>
      </c>
      <c r="I69" s="14">
        <f>IF(A69="","",TEXT(A69,"[$-de-DE]MMMM YYYY"))</f>
        <v/>
      </c>
      <c r="J69" s="14" t="n"/>
      <c r="K69" s="14" t="n"/>
    </row>
    <row r="70" ht="54" customHeight="1" s="54">
      <c r="A70" s="13" t="n"/>
      <c r="B70" s="14" t="n"/>
      <c r="C70" s="14" t="n"/>
      <c r="D70" s="14" t="n"/>
      <c r="E70" s="15" t="n"/>
      <c r="F70" s="94">
        <f>IF(A70="","",Einstellungen!$B$5)</f>
        <v/>
      </c>
      <c r="G70" s="98">
        <f>IF(A70="","",E70*F70)</f>
        <v/>
      </c>
      <c r="H70" s="16">
        <f>IF(A70="","",ISOWEEKNUM(A70))</f>
        <v/>
      </c>
      <c r="I70" s="14">
        <f>IF(A70="","",TEXT(A70,"[$-de-DE]MMMM YYYY"))</f>
        <v/>
      </c>
      <c r="J70" s="14" t="n"/>
      <c r="K70" s="14" t="n"/>
    </row>
    <row r="71" ht="54" customHeight="1" s="54">
      <c r="A71" s="13" t="n"/>
      <c r="B71" s="14" t="n"/>
      <c r="C71" s="14" t="n"/>
      <c r="D71" s="14" t="n"/>
      <c r="E71" s="15" t="n"/>
      <c r="F71" s="94">
        <f>IF(A71="","",Einstellungen!$B$5)</f>
        <v/>
      </c>
      <c r="G71" s="98">
        <f>IF(A71="","",E71*F71)</f>
        <v/>
      </c>
      <c r="H71" s="16">
        <f>IF(A71="","",ISOWEEKNUM(A71))</f>
        <v/>
      </c>
      <c r="I71" s="14">
        <f>IF(A71="","",TEXT(A71,"[$-de-DE]MMMM YYYY"))</f>
        <v/>
      </c>
      <c r="J71" s="14" t="n"/>
      <c r="K71" s="14" t="n"/>
    </row>
    <row r="72" ht="54" customHeight="1" s="54">
      <c r="A72" s="13" t="n"/>
      <c r="B72" s="14" t="n"/>
      <c r="C72" s="14" t="n"/>
      <c r="D72" s="14" t="n"/>
      <c r="E72" s="15" t="n"/>
      <c r="F72" s="94">
        <f>IF(A72="","",Einstellungen!$B$5)</f>
        <v/>
      </c>
      <c r="G72" s="98">
        <f>IF(A72="","",E72*F72)</f>
        <v/>
      </c>
      <c r="H72" s="16">
        <f>IF(A72="","",ISOWEEKNUM(A72))</f>
        <v/>
      </c>
      <c r="I72" s="14">
        <f>IF(A72="","",TEXT(A72,"[$-de-DE]MMMM YYYY"))</f>
        <v/>
      </c>
      <c r="J72" s="14" t="n"/>
      <c r="K72" s="14" t="n"/>
    </row>
    <row r="73" ht="54" customHeight="1" s="54">
      <c r="A73" s="13" t="n"/>
      <c r="B73" s="14" t="n"/>
      <c r="C73" s="14" t="n"/>
      <c r="D73" s="14" t="n"/>
      <c r="E73" s="15" t="n"/>
      <c r="F73" s="94">
        <f>IF(A73="","",Einstellungen!$B$5)</f>
        <v/>
      </c>
      <c r="G73" s="98">
        <f>IF(A73="","",E73*F73)</f>
        <v/>
      </c>
      <c r="H73" s="16">
        <f>IF(A73="","",ISOWEEKNUM(A73))</f>
        <v/>
      </c>
      <c r="I73" s="14">
        <f>IF(A73="","",TEXT(A73,"[$-de-DE]MMMM YYYY"))</f>
        <v/>
      </c>
      <c r="J73" s="14" t="n"/>
      <c r="K73" s="14" t="n"/>
    </row>
    <row r="74" ht="54" customHeight="1" s="54">
      <c r="A74" s="13" t="n"/>
      <c r="B74" s="14" t="n"/>
      <c r="C74" s="14" t="n"/>
      <c r="D74" s="14" t="n"/>
      <c r="E74" s="15" t="n"/>
      <c r="F74" s="94">
        <f>IF(A74="","",Einstellungen!$B$5)</f>
        <v/>
      </c>
      <c r="G74" s="98">
        <f>IF(A74="","",E74*F74)</f>
        <v/>
      </c>
      <c r="H74" s="16">
        <f>IF(A74="","",ISOWEEKNUM(A74))</f>
        <v/>
      </c>
      <c r="I74" s="14">
        <f>IF(A74="","",TEXT(A74,"[$-de-DE]MMMM YYYY"))</f>
        <v/>
      </c>
      <c r="J74" s="14" t="n"/>
      <c r="K74" s="14" t="n"/>
    </row>
    <row r="75" ht="54" customHeight="1" s="54">
      <c r="A75" s="13" t="n"/>
      <c r="B75" s="14" t="n"/>
      <c r="C75" s="14" t="n"/>
      <c r="D75" s="14" t="n"/>
      <c r="E75" s="15" t="n"/>
      <c r="F75" s="94">
        <f>IF(A75="","",Einstellungen!$B$5)</f>
        <v/>
      </c>
      <c r="G75" s="98">
        <f>IF(A75="","",E75*F75)</f>
        <v/>
      </c>
      <c r="H75" s="16">
        <f>IF(A75="","",ISOWEEKNUM(A75))</f>
        <v/>
      </c>
      <c r="I75" s="14">
        <f>IF(A75="","",TEXT(A75,"[$-de-DE]MMMM YYYY"))</f>
        <v/>
      </c>
      <c r="J75" s="14" t="n"/>
      <c r="K75" s="14" t="n"/>
    </row>
    <row r="76" ht="54" customHeight="1" s="54">
      <c r="A76" s="13" t="n"/>
      <c r="B76" s="14" t="n"/>
      <c r="C76" s="14" t="n"/>
      <c r="D76" s="14" t="n"/>
      <c r="E76" s="15" t="n"/>
      <c r="F76" s="94">
        <f>IF(A76="","",Einstellungen!$B$5)</f>
        <v/>
      </c>
      <c r="G76" s="98">
        <f>IF(A76="","",E76*F76)</f>
        <v/>
      </c>
      <c r="H76" s="16">
        <f>IF(A76="","",ISOWEEKNUM(A76))</f>
        <v/>
      </c>
      <c r="I76" s="14">
        <f>IF(A76="","",TEXT(A76,"[$-de-DE]MMMM YYYY"))</f>
        <v/>
      </c>
      <c r="J76" s="14" t="n"/>
      <c r="K76" s="14" t="n"/>
    </row>
    <row r="77" ht="54" customHeight="1" s="54">
      <c r="A77" s="13" t="n"/>
      <c r="B77" s="14" t="n"/>
      <c r="C77" s="14" t="n"/>
      <c r="D77" s="14" t="n"/>
      <c r="E77" s="15" t="n"/>
      <c r="F77" s="94">
        <f>IF(A77="","",Einstellungen!$B$5)</f>
        <v/>
      </c>
      <c r="G77" s="98">
        <f>IF(A77="","",E77*F77)</f>
        <v/>
      </c>
      <c r="H77" s="16">
        <f>IF(A77="","",ISOWEEKNUM(A77))</f>
        <v/>
      </c>
      <c r="I77" s="14">
        <f>IF(A77="","",TEXT(A77,"[$-de-DE]MMMM YYYY"))</f>
        <v/>
      </c>
      <c r="J77" s="14" t="n"/>
      <c r="K77" s="14" t="n"/>
    </row>
    <row r="78" ht="54" customHeight="1" s="54">
      <c r="A78" s="13" t="n"/>
      <c r="B78" s="14" t="n"/>
      <c r="C78" s="14" t="n"/>
      <c r="D78" s="14" t="n"/>
      <c r="E78" s="15" t="n"/>
      <c r="F78" s="94">
        <f>IF(A78="","",Einstellungen!$B$5)</f>
        <v/>
      </c>
      <c r="G78" s="98">
        <f>IF(A78="","",E78*F78)</f>
        <v/>
      </c>
      <c r="H78" s="16">
        <f>IF(A78="","",ISOWEEKNUM(A78))</f>
        <v/>
      </c>
      <c r="I78" s="14">
        <f>IF(A78="","",TEXT(A78,"[$-de-DE]MMMM YYYY"))</f>
        <v/>
      </c>
      <c r="J78" s="14" t="n"/>
      <c r="K78" s="14" t="n"/>
    </row>
    <row r="79" ht="54" customHeight="1" s="54">
      <c r="A79" s="13" t="n"/>
      <c r="B79" s="14" t="n"/>
      <c r="C79" s="14" t="n"/>
      <c r="D79" s="14" t="n"/>
      <c r="E79" s="15" t="n"/>
      <c r="F79" s="94">
        <f>IF(A79="","",Einstellungen!$B$5)</f>
        <v/>
      </c>
      <c r="G79" s="98">
        <f>IF(A79="","",E79*F79)</f>
        <v/>
      </c>
      <c r="H79" s="16">
        <f>IF(A79="","",ISOWEEKNUM(A79))</f>
        <v/>
      </c>
      <c r="I79" s="14">
        <f>IF(A79="","",TEXT(A79,"[$-de-DE]MMMM YYYY"))</f>
        <v/>
      </c>
      <c r="J79" s="14" t="n"/>
      <c r="K79" s="14" t="n"/>
    </row>
    <row r="80" ht="54" customHeight="1" s="54">
      <c r="A80" s="13" t="n"/>
      <c r="B80" s="14" t="n"/>
      <c r="C80" s="14" t="n"/>
      <c r="D80" s="14" t="n"/>
      <c r="E80" s="15" t="n"/>
      <c r="F80" s="94">
        <f>IF(A80="","",Einstellungen!$B$5)</f>
        <v/>
      </c>
      <c r="G80" s="98">
        <f>IF(A80="","",E80*F80)</f>
        <v/>
      </c>
      <c r="H80" s="16">
        <f>IF(A80="","",ISOWEEKNUM(A80))</f>
        <v/>
      </c>
      <c r="I80" s="14">
        <f>IF(A80="","",TEXT(A80,"[$-de-DE]MMMM YYYY"))</f>
        <v/>
      </c>
      <c r="J80" s="14" t="n"/>
      <c r="K80" s="14" t="n"/>
    </row>
    <row r="81" ht="54" customHeight="1" s="54">
      <c r="A81" s="13" t="n"/>
      <c r="B81" s="14" t="n"/>
      <c r="C81" s="14" t="n"/>
      <c r="D81" s="14" t="n"/>
      <c r="E81" s="15" t="n"/>
      <c r="F81" s="94">
        <f>IF(A81="","",Einstellungen!$B$5)</f>
        <v/>
      </c>
      <c r="G81" s="98">
        <f>IF(A81="","",E81*F81)</f>
        <v/>
      </c>
      <c r="H81" s="16">
        <f>IF(A81="","",ISOWEEKNUM(A81))</f>
        <v/>
      </c>
      <c r="I81" s="14">
        <f>IF(A81="","",TEXT(A81,"[$-de-DE]MMMM YYYY"))</f>
        <v/>
      </c>
      <c r="J81" s="14" t="n"/>
      <c r="K81" s="14" t="n"/>
    </row>
    <row r="82" ht="54" customHeight="1" s="54">
      <c r="A82" s="13" t="n"/>
      <c r="B82" s="14" t="n"/>
      <c r="C82" s="14" t="n"/>
      <c r="D82" s="14" t="n"/>
      <c r="E82" s="15" t="n"/>
      <c r="F82" s="94">
        <f>IF(A82="","",Einstellungen!$B$5)</f>
        <v/>
      </c>
      <c r="G82" s="98">
        <f>IF(A82="","",E82*F82)</f>
        <v/>
      </c>
      <c r="H82" s="16">
        <f>IF(A82="","",ISOWEEKNUM(A82))</f>
        <v/>
      </c>
      <c r="I82" s="14">
        <f>IF(A82="","",TEXT(A82,"[$-de-DE]MMMM YYYY"))</f>
        <v/>
      </c>
      <c r="J82" s="14" t="n"/>
      <c r="K82" s="14" t="n"/>
    </row>
    <row r="83" ht="54" customHeight="1" s="54">
      <c r="A83" s="13" t="n"/>
      <c r="B83" s="14" t="n"/>
      <c r="C83" s="14" t="n"/>
      <c r="D83" s="14" t="n"/>
      <c r="E83" s="15" t="n"/>
      <c r="F83" s="94">
        <f>IF(A83="","",Einstellungen!$B$5)</f>
        <v/>
      </c>
      <c r="G83" s="98">
        <f>IF(A83="","",E83*F83)</f>
        <v/>
      </c>
      <c r="H83" s="16">
        <f>IF(A83="","",ISOWEEKNUM(A83))</f>
        <v/>
      </c>
      <c r="I83" s="14">
        <f>IF(A83="","",TEXT(A83,"[$-de-DE]MMMM YYYY"))</f>
        <v/>
      </c>
      <c r="J83" s="14" t="n"/>
      <c r="K83" s="14" t="n"/>
    </row>
    <row r="84" ht="54" customHeight="1" s="54">
      <c r="A84" s="13" t="n"/>
      <c r="B84" s="14" t="n"/>
      <c r="C84" s="14" t="n"/>
      <c r="D84" s="14" t="n"/>
      <c r="E84" s="15" t="n"/>
      <c r="F84" s="94">
        <f>IF(A84="","",Einstellungen!$B$5)</f>
        <v/>
      </c>
      <c r="G84" s="98">
        <f>IF(A84="","",E84*F84)</f>
        <v/>
      </c>
      <c r="H84" s="16">
        <f>IF(A84="","",ISOWEEKNUM(A84))</f>
        <v/>
      </c>
      <c r="I84" s="14">
        <f>IF(A84="","",TEXT(A84,"[$-de-DE]MMMM YYYY"))</f>
        <v/>
      </c>
      <c r="J84" s="14" t="n"/>
      <c r="K84" s="14" t="n"/>
    </row>
    <row r="85" ht="54" customHeight="1" s="54">
      <c r="A85" s="13" t="n"/>
      <c r="B85" s="14" t="n"/>
      <c r="C85" s="14" t="n"/>
      <c r="D85" s="14" t="n"/>
      <c r="E85" s="15" t="n"/>
      <c r="F85" s="94">
        <f>IF(A85="","",Einstellungen!$B$5)</f>
        <v/>
      </c>
      <c r="G85" s="98">
        <f>IF(A85="","",E85*F85)</f>
        <v/>
      </c>
      <c r="H85" s="16">
        <f>IF(A85="","",ISOWEEKNUM(A85))</f>
        <v/>
      </c>
      <c r="I85" s="14">
        <f>IF(A85="","",TEXT(A85,"[$-de-DE]MMMM YYYY"))</f>
        <v/>
      </c>
      <c r="J85" s="14" t="n"/>
      <c r="K85" s="14" t="n"/>
    </row>
    <row r="86" ht="54" customHeight="1" s="54">
      <c r="A86" s="13" t="n"/>
      <c r="B86" s="14" t="n"/>
      <c r="C86" s="14" t="n"/>
      <c r="D86" s="14" t="n"/>
      <c r="E86" s="15" t="n"/>
      <c r="F86" s="94">
        <f>IF(A86="","",Einstellungen!$B$5)</f>
        <v/>
      </c>
      <c r="G86" s="98">
        <f>IF(A86="","",E86*F86)</f>
        <v/>
      </c>
      <c r="H86" s="16">
        <f>IF(A86="","",ISOWEEKNUM(A86))</f>
        <v/>
      </c>
      <c r="I86" s="14">
        <f>IF(A86="","",TEXT(A86,"[$-de-DE]MMMM YYYY"))</f>
        <v/>
      </c>
      <c r="J86" s="14" t="n"/>
      <c r="K86" s="14" t="n"/>
    </row>
    <row r="87" ht="54" customHeight="1" s="54">
      <c r="A87" s="13" t="n"/>
      <c r="B87" s="14" t="n"/>
      <c r="C87" s="14" t="n"/>
      <c r="D87" s="14" t="n"/>
      <c r="E87" s="15" t="n"/>
      <c r="F87" s="94">
        <f>IF(A87="","",Einstellungen!$B$5)</f>
        <v/>
      </c>
      <c r="G87" s="98">
        <f>IF(A87="","",E87*F87)</f>
        <v/>
      </c>
      <c r="H87" s="16">
        <f>IF(A87="","",ISOWEEKNUM(A87))</f>
        <v/>
      </c>
      <c r="I87" s="14">
        <f>IF(A87="","",TEXT(A87,"[$-de-DE]MMMM YYYY"))</f>
        <v/>
      </c>
      <c r="J87" s="14" t="n"/>
      <c r="K87" s="14" t="n"/>
    </row>
    <row r="88" ht="54" customHeight="1" s="54">
      <c r="A88" s="13" t="n"/>
      <c r="B88" s="14" t="n"/>
      <c r="C88" s="14" t="n"/>
      <c r="D88" s="14" t="n"/>
      <c r="E88" s="15" t="n"/>
      <c r="F88" s="94">
        <f>IF(A88="","",Einstellungen!$B$5)</f>
        <v/>
      </c>
      <c r="G88" s="98">
        <f>IF(A88="","",E88*F88)</f>
        <v/>
      </c>
      <c r="H88" s="16">
        <f>IF(A88="","",ISOWEEKNUM(A88))</f>
        <v/>
      </c>
      <c r="I88" s="14">
        <f>IF(A88="","",TEXT(A88,"[$-de-DE]MMMM YYYY"))</f>
        <v/>
      </c>
      <c r="J88" s="14" t="n"/>
      <c r="K88" s="14" t="n"/>
    </row>
    <row r="89" ht="54" customHeight="1" s="54">
      <c r="A89" s="13" t="n"/>
      <c r="B89" s="14" t="n"/>
      <c r="C89" s="14" t="n"/>
      <c r="D89" s="14" t="n"/>
      <c r="E89" s="15" t="n"/>
      <c r="F89" s="94">
        <f>IF(A89="","",Einstellungen!$B$5)</f>
        <v/>
      </c>
      <c r="G89" s="98">
        <f>IF(A89="","",E89*F89)</f>
        <v/>
      </c>
      <c r="H89" s="16">
        <f>IF(A89="","",ISOWEEKNUM(A89))</f>
        <v/>
      </c>
      <c r="I89" s="14">
        <f>IF(A89="","",TEXT(A89,"[$-de-DE]MMMM YYYY"))</f>
        <v/>
      </c>
      <c r="J89" s="14" t="n"/>
      <c r="K89" s="14" t="n"/>
    </row>
    <row r="90" ht="54" customHeight="1" s="54">
      <c r="A90" s="13" t="n"/>
      <c r="B90" s="14" t="n"/>
      <c r="C90" s="14" t="n"/>
      <c r="D90" s="14" t="n"/>
      <c r="E90" s="15" t="n"/>
      <c r="F90" s="94">
        <f>IF(A90="","",Einstellungen!$B$5)</f>
        <v/>
      </c>
      <c r="G90" s="98">
        <f>IF(A90="","",E90*F90)</f>
        <v/>
      </c>
      <c r="H90" s="16">
        <f>IF(A90="","",ISOWEEKNUM(A90))</f>
        <v/>
      </c>
      <c r="I90" s="14">
        <f>IF(A90="","",TEXT(A90,"[$-de-DE]MMMM YYYY"))</f>
        <v/>
      </c>
      <c r="J90" s="14" t="n"/>
      <c r="K90" s="14" t="n"/>
    </row>
    <row r="91" ht="54" customHeight="1" s="54">
      <c r="A91" s="13" t="n"/>
      <c r="B91" s="14" t="n"/>
      <c r="C91" s="14" t="n"/>
      <c r="D91" s="14" t="n"/>
      <c r="E91" s="15" t="n"/>
      <c r="F91" s="94">
        <f>IF(A91="","",Einstellungen!$B$5)</f>
        <v/>
      </c>
      <c r="G91" s="98">
        <f>IF(A91="","",E91*F91)</f>
        <v/>
      </c>
      <c r="H91" s="16">
        <f>IF(A91="","",ISOWEEKNUM(A91))</f>
        <v/>
      </c>
      <c r="I91" s="14">
        <f>IF(A91="","",TEXT(A91,"[$-de-DE]MMMM YYYY"))</f>
        <v/>
      </c>
      <c r="J91" s="14" t="n"/>
      <c r="K91" s="14" t="n"/>
    </row>
    <row r="92" ht="54" customHeight="1" s="54">
      <c r="A92" s="13" t="n"/>
      <c r="B92" s="14" t="n"/>
      <c r="C92" s="14" t="n"/>
      <c r="D92" s="14" t="n"/>
      <c r="E92" s="15" t="n"/>
      <c r="F92" s="94">
        <f>IF(A92="","",Einstellungen!$B$5)</f>
        <v/>
      </c>
      <c r="G92" s="98">
        <f>IF(A92="","",E92*F92)</f>
        <v/>
      </c>
      <c r="H92" s="16">
        <f>IF(A92="","",ISOWEEKNUM(A92))</f>
        <v/>
      </c>
      <c r="I92" s="14">
        <f>IF(A92="","",TEXT(A92,"[$-de-DE]MMMM YYYY"))</f>
        <v/>
      </c>
      <c r="J92" s="14" t="n"/>
      <c r="K92" s="14" t="n"/>
    </row>
    <row r="93" ht="54" customHeight="1" s="54">
      <c r="A93" s="13" t="n"/>
      <c r="B93" s="14" t="n"/>
      <c r="C93" s="14" t="n"/>
      <c r="D93" s="14" t="n"/>
      <c r="E93" s="15" t="n"/>
      <c r="F93" s="94">
        <f>IF(A93="","",Einstellungen!$B$5)</f>
        <v/>
      </c>
      <c r="G93" s="98">
        <f>IF(A93="","",E93*F93)</f>
        <v/>
      </c>
      <c r="H93" s="16">
        <f>IF(A93="","",ISOWEEKNUM(A93))</f>
        <v/>
      </c>
      <c r="I93" s="14">
        <f>IF(A93="","",TEXT(A93,"[$-de-DE]MMMM YYYY"))</f>
        <v/>
      </c>
      <c r="J93" s="14" t="n"/>
      <c r="K93" s="14" t="n"/>
    </row>
    <row r="94" ht="54" customHeight="1" s="54">
      <c r="A94" s="13" t="n"/>
      <c r="B94" s="14" t="n"/>
      <c r="C94" s="14" t="n"/>
      <c r="D94" s="14" t="n"/>
      <c r="E94" s="15" t="n"/>
      <c r="F94" s="94">
        <f>IF(A94="","",Einstellungen!$B$5)</f>
        <v/>
      </c>
      <c r="G94" s="98">
        <f>IF(A94="","",E94*F94)</f>
        <v/>
      </c>
      <c r="H94" s="16">
        <f>IF(A94="","",ISOWEEKNUM(A94))</f>
        <v/>
      </c>
      <c r="I94" s="14">
        <f>IF(A94="","",TEXT(A94,"[$-de-DE]MMMM YYYY"))</f>
        <v/>
      </c>
      <c r="J94" s="14" t="n"/>
      <c r="K94" s="14" t="n"/>
    </row>
    <row r="95" ht="54" customHeight="1" s="54">
      <c r="A95" s="13" t="n"/>
      <c r="B95" s="14" t="n"/>
      <c r="C95" s="14" t="n"/>
      <c r="D95" s="14" t="n"/>
      <c r="E95" s="15" t="n"/>
      <c r="F95" s="94">
        <f>IF(A95="","",Einstellungen!$B$5)</f>
        <v/>
      </c>
      <c r="G95" s="98">
        <f>IF(A95="","",E95*F95)</f>
        <v/>
      </c>
      <c r="H95" s="16">
        <f>IF(A95="","",ISOWEEKNUM(A95))</f>
        <v/>
      </c>
      <c r="I95" s="14">
        <f>IF(A95="","",TEXT(A95,"[$-de-DE]MMMM YYYY"))</f>
        <v/>
      </c>
      <c r="J95" s="14" t="n"/>
      <c r="K95" s="14" t="n"/>
    </row>
    <row r="96" ht="54" customHeight="1" s="54">
      <c r="A96" s="13" t="n"/>
      <c r="B96" s="14" t="n"/>
      <c r="C96" s="14" t="n"/>
      <c r="D96" s="14" t="n"/>
      <c r="E96" s="15" t="n"/>
      <c r="F96" s="94">
        <f>IF(A96="","",Einstellungen!$B$5)</f>
        <v/>
      </c>
      <c r="G96" s="98">
        <f>IF(A96="","",E96*F96)</f>
        <v/>
      </c>
      <c r="H96" s="16">
        <f>IF(A96="","",ISOWEEKNUM(A96))</f>
        <v/>
      </c>
      <c r="I96" s="14">
        <f>IF(A96="","",TEXT(A96,"[$-de-DE]MMMM YYYY"))</f>
        <v/>
      </c>
      <c r="J96" s="14" t="n"/>
      <c r="K96" s="14" t="n"/>
    </row>
    <row r="97" ht="54" customHeight="1" s="54">
      <c r="A97" s="13" t="n"/>
      <c r="B97" s="14" t="n"/>
      <c r="C97" s="14" t="n"/>
      <c r="D97" s="14" t="n"/>
      <c r="E97" s="15" t="n"/>
      <c r="F97" s="94">
        <f>IF(A97="","",Einstellungen!$B$5)</f>
        <v/>
      </c>
      <c r="G97" s="98">
        <f>IF(A97="","",E97*F97)</f>
        <v/>
      </c>
      <c r="H97" s="16">
        <f>IF(A97="","",ISOWEEKNUM(A97))</f>
        <v/>
      </c>
      <c r="I97" s="14">
        <f>IF(A97="","",TEXT(A97,"[$-de-DE]MMMM YYYY"))</f>
        <v/>
      </c>
      <c r="J97" s="14" t="n"/>
      <c r="K97" s="14" t="n"/>
    </row>
    <row r="98" ht="54" customHeight="1" s="54">
      <c r="A98" s="13" t="n"/>
      <c r="B98" s="14" t="n"/>
      <c r="C98" s="14" t="n"/>
      <c r="D98" s="14" t="n"/>
      <c r="E98" s="15" t="n"/>
      <c r="F98" s="94">
        <f>IF(A98="","",Einstellungen!$B$5)</f>
        <v/>
      </c>
      <c r="G98" s="98">
        <f>IF(A98="","",E98*F98)</f>
        <v/>
      </c>
      <c r="H98" s="16">
        <f>IF(A98="","",ISOWEEKNUM(A98))</f>
        <v/>
      </c>
      <c r="I98" s="14">
        <f>IF(A98="","",TEXT(A98,"[$-de-DE]MMMM YYYY"))</f>
        <v/>
      </c>
      <c r="J98" s="14" t="n"/>
      <c r="K98" s="14" t="n"/>
    </row>
    <row r="99" ht="54" customHeight="1" s="54">
      <c r="A99" s="13" t="n"/>
      <c r="B99" s="14" t="n"/>
      <c r="C99" s="14" t="n"/>
      <c r="D99" s="14" t="n"/>
      <c r="E99" s="15" t="n"/>
      <c r="F99" s="94">
        <f>IF(A99="","",Einstellungen!$B$5)</f>
        <v/>
      </c>
      <c r="G99" s="98">
        <f>IF(A99="","",E99*F99)</f>
        <v/>
      </c>
      <c r="H99" s="16">
        <f>IF(A99="","",ISOWEEKNUM(A99))</f>
        <v/>
      </c>
      <c r="I99" s="14">
        <f>IF(A99="","",TEXT(A99,"[$-de-DE]MMMM YYYY"))</f>
        <v/>
      </c>
      <c r="J99" s="14" t="n"/>
      <c r="K99" s="14" t="n"/>
    </row>
    <row r="100" ht="54" customHeight="1" s="54">
      <c r="A100" s="13" t="n"/>
      <c r="B100" s="14" t="n"/>
      <c r="C100" s="14" t="n"/>
      <c r="D100" s="14" t="n"/>
      <c r="E100" s="15" t="n"/>
      <c r="F100" s="94">
        <f>IF(A100="","",Einstellungen!$B$5)</f>
        <v/>
      </c>
      <c r="G100" s="98">
        <f>IF(A100="","",E100*F100)</f>
        <v/>
      </c>
      <c r="H100" s="16">
        <f>IF(A100="","",ISOWEEKNUM(A100))</f>
        <v/>
      </c>
      <c r="I100" s="14">
        <f>IF(A100="","",TEXT(A100,"[$-de-DE]MMMM YYYY"))</f>
        <v/>
      </c>
      <c r="J100" s="14" t="n"/>
      <c r="K100" s="14" t="n"/>
    </row>
    <row r="101" ht="54" customHeight="1" s="54">
      <c r="A101" s="13" t="n"/>
      <c r="B101" s="14" t="n"/>
      <c r="C101" s="14" t="n"/>
      <c r="D101" s="14" t="n"/>
      <c r="E101" s="15" t="n"/>
      <c r="F101" s="94">
        <f>IF(A101="","",Einstellungen!$B$5)</f>
        <v/>
      </c>
      <c r="G101" s="98">
        <f>IF(A101="","",E101*F101)</f>
        <v/>
      </c>
      <c r="H101" s="16">
        <f>IF(A101="","",ISOWEEKNUM(A101))</f>
        <v/>
      </c>
      <c r="I101" s="14">
        <f>IF(A101="","",TEXT(A101,"[$-de-DE]MMMM YYYY"))</f>
        <v/>
      </c>
      <c r="J101" s="14" t="n"/>
      <c r="K101" s="14" t="n"/>
    </row>
    <row r="102" ht="54" customHeight="1" s="54">
      <c r="A102" s="13" t="n"/>
      <c r="B102" s="14" t="n"/>
      <c r="C102" s="14" t="n"/>
      <c r="D102" s="14" t="n"/>
      <c r="E102" s="15" t="n"/>
      <c r="F102" s="94">
        <f>IF(A102="","",Einstellungen!$B$5)</f>
        <v/>
      </c>
      <c r="G102" s="98">
        <f>IF(A102="","",E102*F102)</f>
        <v/>
      </c>
      <c r="H102" s="16">
        <f>IF(A102="","",ISOWEEKNUM(A102))</f>
        <v/>
      </c>
      <c r="I102" s="14">
        <f>IF(A102="","",TEXT(A102,"[$-de-DE]MMMM YYYY"))</f>
        <v/>
      </c>
      <c r="J102" s="14" t="n"/>
      <c r="K102" s="14" t="n"/>
    </row>
    <row r="103" ht="54" customHeight="1" s="54">
      <c r="A103" s="13" t="n"/>
      <c r="B103" s="14" t="n"/>
      <c r="C103" s="14" t="n"/>
      <c r="D103" s="14" t="n"/>
      <c r="E103" s="15" t="n"/>
      <c r="F103" s="94">
        <f>IF(A103="","",Einstellungen!$B$5)</f>
        <v/>
      </c>
      <c r="G103" s="98">
        <f>IF(A103="","",E103*F103)</f>
        <v/>
      </c>
      <c r="H103" s="16">
        <f>IF(A103="","",ISOWEEKNUM(A103))</f>
        <v/>
      </c>
      <c r="I103" s="14">
        <f>IF(A103="","",TEXT(A103,"[$-de-DE]MMMM YYYY"))</f>
        <v/>
      </c>
      <c r="J103" s="14" t="n"/>
      <c r="K103" s="14" t="n"/>
    </row>
    <row r="104" ht="54" customHeight="1" s="54">
      <c r="A104" s="13" t="n"/>
      <c r="B104" s="14" t="n"/>
      <c r="C104" s="14" t="n"/>
      <c r="D104" s="14" t="n"/>
      <c r="E104" s="15" t="n"/>
      <c r="F104" s="94">
        <f>IF(A104="","",Einstellungen!$B$5)</f>
        <v/>
      </c>
      <c r="G104" s="98">
        <f>IF(A104="","",E104*F104)</f>
        <v/>
      </c>
      <c r="H104" s="16">
        <f>IF(A104="","",ISOWEEKNUM(A104))</f>
        <v/>
      </c>
      <c r="I104" s="14">
        <f>IF(A104="","",TEXT(A104,"[$-de-DE]MMMM YYYY"))</f>
        <v/>
      </c>
      <c r="J104" s="14" t="n"/>
      <c r="K104" s="14" t="n"/>
    </row>
    <row r="105" ht="54" customHeight="1" s="54">
      <c r="A105" s="13" t="n"/>
      <c r="B105" s="14" t="n"/>
      <c r="C105" s="14" t="n"/>
      <c r="D105" s="14" t="n"/>
      <c r="E105" s="15" t="n"/>
      <c r="F105" s="94">
        <f>IF(A105="","",Einstellungen!$B$5)</f>
        <v/>
      </c>
      <c r="G105" s="98">
        <f>IF(A105="","",E105*F105)</f>
        <v/>
      </c>
      <c r="H105" s="16">
        <f>IF(A105="","",ISOWEEKNUM(A105))</f>
        <v/>
      </c>
      <c r="I105" s="14">
        <f>IF(A105="","",TEXT(A105,"[$-de-DE]MMMM YYYY"))</f>
        <v/>
      </c>
      <c r="J105" s="14" t="n"/>
      <c r="K105" s="14" t="n"/>
    </row>
    <row r="106" ht="54" customHeight="1" s="54">
      <c r="A106" s="13" t="n"/>
      <c r="B106" s="14" t="n"/>
      <c r="C106" s="14" t="n"/>
      <c r="D106" s="14" t="n"/>
      <c r="E106" s="15" t="n"/>
      <c r="F106" s="94">
        <f>IF(A106="","",Einstellungen!$B$5)</f>
        <v/>
      </c>
      <c r="G106" s="98">
        <f>IF(A106="","",E106*F106)</f>
        <v/>
      </c>
      <c r="H106" s="16">
        <f>IF(A106="","",ISOWEEKNUM(A106))</f>
        <v/>
      </c>
      <c r="I106" s="14">
        <f>IF(A106="","",TEXT(A106,"[$-de-DE]MMMM YYYY"))</f>
        <v/>
      </c>
      <c r="J106" s="14" t="n"/>
      <c r="K106" s="14" t="n"/>
    </row>
    <row r="107" ht="54" customHeight="1" s="54">
      <c r="A107" s="13" t="n"/>
      <c r="B107" s="14" t="n"/>
      <c r="C107" s="14" t="n"/>
      <c r="D107" s="14" t="n"/>
      <c r="E107" s="15" t="n"/>
      <c r="F107" s="94">
        <f>IF(A107="","",Einstellungen!$B$5)</f>
        <v/>
      </c>
      <c r="G107" s="98">
        <f>IF(A107="","",E107*F107)</f>
        <v/>
      </c>
      <c r="H107" s="16">
        <f>IF(A107="","",ISOWEEKNUM(A107))</f>
        <v/>
      </c>
      <c r="I107" s="14">
        <f>IF(A107="","",TEXT(A107,"[$-de-DE]MMMM YYYY"))</f>
        <v/>
      </c>
      <c r="J107" s="14" t="n"/>
      <c r="K107" s="14" t="n"/>
    </row>
    <row r="108" ht="54" customHeight="1" s="54">
      <c r="A108" s="13" t="n"/>
      <c r="B108" s="14" t="n"/>
      <c r="C108" s="14" t="n"/>
      <c r="D108" s="14" t="n"/>
      <c r="E108" s="15" t="n"/>
      <c r="F108" s="94">
        <f>IF(A108="","",Einstellungen!$B$5)</f>
        <v/>
      </c>
      <c r="G108" s="98">
        <f>IF(A108="","",E108*F108)</f>
        <v/>
      </c>
      <c r="H108" s="16">
        <f>IF(A108="","",ISOWEEKNUM(A108))</f>
        <v/>
      </c>
      <c r="I108" s="14">
        <f>IF(A108="","",TEXT(A108,"[$-de-DE]MMMM YYYY"))</f>
        <v/>
      </c>
      <c r="J108" s="14" t="n"/>
      <c r="K108" s="14" t="n"/>
    </row>
    <row r="109" ht="54" customHeight="1" s="54">
      <c r="A109" s="13" t="n"/>
      <c r="B109" s="14" t="n"/>
      <c r="C109" s="14" t="n"/>
      <c r="D109" s="14" t="n"/>
      <c r="E109" s="15" t="n"/>
      <c r="F109" s="94">
        <f>IF(A109="","",Einstellungen!$B$5)</f>
        <v/>
      </c>
      <c r="G109" s="98">
        <f>IF(A109="","",E109*F109)</f>
        <v/>
      </c>
      <c r="H109" s="16">
        <f>IF(A109="","",ISOWEEKNUM(A109))</f>
        <v/>
      </c>
      <c r="I109" s="14">
        <f>IF(A109="","",TEXT(A109,"[$-de-DE]MMMM YYYY"))</f>
        <v/>
      </c>
      <c r="J109" s="14" t="n"/>
      <c r="K109" s="14" t="n"/>
    </row>
    <row r="110" ht="54" customHeight="1" s="54">
      <c r="A110" s="13" t="n"/>
      <c r="B110" s="14" t="n"/>
      <c r="C110" s="14" t="n"/>
      <c r="D110" s="14" t="n"/>
      <c r="E110" s="15" t="n"/>
      <c r="F110" s="94">
        <f>IF(A110="","",Einstellungen!$B$5)</f>
        <v/>
      </c>
      <c r="G110" s="98">
        <f>IF(A110="","",E110*F110)</f>
        <v/>
      </c>
      <c r="H110" s="16">
        <f>IF(A110="","",ISOWEEKNUM(A110))</f>
        <v/>
      </c>
      <c r="I110" s="14">
        <f>IF(A110="","",TEXT(A110,"[$-de-DE]MMMM YYYY"))</f>
        <v/>
      </c>
      <c r="J110" s="14" t="n"/>
      <c r="K110" s="14" t="n"/>
    </row>
    <row r="111" ht="54" customHeight="1" s="54">
      <c r="A111" s="13" t="n"/>
      <c r="B111" s="14" t="n"/>
      <c r="C111" s="14" t="n"/>
      <c r="D111" s="14" t="n"/>
      <c r="E111" s="15" t="n"/>
      <c r="F111" s="94">
        <f>IF(A111="","",Einstellungen!$B$5)</f>
        <v/>
      </c>
      <c r="G111" s="98">
        <f>IF(A111="","",E111*F111)</f>
        <v/>
      </c>
      <c r="H111" s="16">
        <f>IF(A111="","",ISOWEEKNUM(A111))</f>
        <v/>
      </c>
      <c r="I111" s="14">
        <f>IF(A111="","",TEXT(A111,"[$-de-DE]MMMM YYYY"))</f>
        <v/>
      </c>
      <c r="J111" s="14" t="n"/>
      <c r="K111" s="14" t="n"/>
    </row>
    <row r="112" ht="54" customHeight="1" s="54">
      <c r="A112" s="13" t="n"/>
      <c r="B112" s="14" t="n"/>
      <c r="C112" s="14" t="n"/>
      <c r="D112" s="14" t="n"/>
      <c r="E112" s="15" t="n"/>
      <c r="F112" s="94">
        <f>IF(A112="","",Einstellungen!$B$5)</f>
        <v/>
      </c>
      <c r="G112" s="98">
        <f>IF(A112="","",E112*F112)</f>
        <v/>
      </c>
      <c r="H112" s="16">
        <f>IF(A112="","",ISOWEEKNUM(A112))</f>
        <v/>
      </c>
      <c r="I112" s="14">
        <f>IF(A112="","",TEXT(A112,"[$-de-DE]MMMM YYYY"))</f>
        <v/>
      </c>
      <c r="J112" s="14" t="n"/>
      <c r="K112" s="14" t="n"/>
    </row>
    <row r="113" ht="54" customHeight="1" s="54">
      <c r="A113" s="13" t="n"/>
      <c r="B113" s="14" t="n"/>
      <c r="C113" s="14" t="n"/>
      <c r="D113" s="14" t="n"/>
      <c r="E113" s="15" t="n"/>
      <c r="F113" s="94">
        <f>IF(A113="","",Einstellungen!$B$5)</f>
        <v/>
      </c>
      <c r="G113" s="98">
        <f>IF(A113="","",E113*F113)</f>
        <v/>
      </c>
      <c r="H113" s="16">
        <f>IF(A113="","",ISOWEEKNUM(A113))</f>
        <v/>
      </c>
      <c r="I113" s="14">
        <f>IF(A113="","",TEXT(A113,"[$-de-DE]MMMM YYYY"))</f>
        <v/>
      </c>
      <c r="J113" s="14" t="n"/>
      <c r="K113" s="14" t="n"/>
    </row>
    <row r="114" ht="54" customHeight="1" s="54">
      <c r="A114" s="13" t="n"/>
      <c r="B114" s="14" t="n"/>
      <c r="C114" s="14" t="n"/>
      <c r="D114" s="14" t="n"/>
      <c r="E114" s="15" t="n"/>
      <c r="F114" s="94">
        <f>IF(A114="","",Einstellungen!$B$5)</f>
        <v/>
      </c>
      <c r="G114" s="98">
        <f>IF(A114="","",E114*F114)</f>
        <v/>
      </c>
      <c r="H114" s="16">
        <f>IF(A114="","",ISOWEEKNUM(A114))</f>
        <v/>
      </c>
      <c r="I114" s="14">
        <f>IF(A114="","",TEXT(A114,"[$-de-DE]MMMM YYYY"))</f>
        <v/>
      </c>
      <c r="J114" s="14" t="n"/>
      <c r="K114" s="14" t="n"/>
    </row>
    <row r="115" ht="54" customHeight="1" s="54">
      <c r="A115" s="13" t="n"/>
      <c r="B115" s="14" t="n"/>
      <c r="C115" s="14" t="n"/>
      <c r="D115" s="14" t="n"/>
      <c r="E115" s="15" t="n"/>
      <c r="F115" s="94">
        <f>IF(A115="","",Einstellungen!$B$5)</f>
        <v/>
      </c>
      <c r="G115" s="98">
        <f>IF(A115="","",E115*F115)</f>
        <v/>
      </c>
      <c r="H115" s="16">
        <f>IF(A115="","",ISOWEEKNUM(A115))</f>
        <v/>
      </c>
      <c r="I115" s="14">
        <f>IF(A115="","",TEXT(A115,"[$-de-DE]MMMM YYYY"))</f>
        <v/>
      </c>
      <c r="J115" s="14" t="n"/>
      <c r="K115" s="14" t="n"/>
    </row>
    <row r="116" ht="54" customHeight="1" s="54">
      <c r="A116" s="13" t="n"/>
      <c r="B116" s="14" t="n"/>
      <c r="C116" s="14" t="n"/>
      <c r="D116" s="14" t="n"/>
      <c r="E116" s="15" t="n"/>
      <c r="F116" s="94">
        <f>IF(A116="","",Einstellungen!$B$5)</f>
        <v/>
      </c>
      <c r="G116" s="98">
        <f>IF(A116="","",E116*F116)</f>
        <v/>
      </c>
      <c r="H116" s="16">
        <f>IF(A116="","",ISOWEEKNUM(A116))</f>
        <v/>
      </c>
      <c r="I116" s="14">
        <f>IF(A116="","",TEXT(A116,"[$-de-DE]MMMM YYYY"))</f>
        <v/>
      </c>
      <c r="J116" s="14" t="n"/>
      <c r="K116" s="14" t="n"/>
    </row>
    <row r="117" ht="54" customHeight="1" s="54">
      <c r="A117" s="13" t="n"/>
      <c r="B117" s="14" t="n"/>
      <c r="C117" s="14" t="n"/>
      <c r="D117" s="14" t="n"/>
      <c r="E117" s="15" t="n"/>
      <c r="F117" s="94">
        <f>IF(A117="","",Einstellungen!$B$5)</f>
        <v/>
      </c>
      <c r="G117" s="98">
        <f>IF(A117="","",E117*F117)</f>
        <v/>
      </c>
      <c r="H117" s="16">
        <f>IF(A117="","",ISOWEEKNUM(A117))</f>
        <v/>
      </c>
      <c r="I117" s="14">
        <f>IF(A117="","",TEXT(A117,"[$-de-DE]MMMM YYYY"))</f>
        <v/>
      </c>
      <c r="J117" s="14" t="n"/>
      <c r="K117" s="14" t="n"/>
    </row>
    <row r="118" ht="54" customHeight="1" s="54">
      <c r="A118" s="13" t="n"/>
      <c r="B118" s="14" t="n"/>
      <c r="C118" s="14" t="n"/>
      <c r="D118" s="14" t="n"/>
      <c r="E118" s="15" t="n"/>
      <c r="F118" s="94">
        <f>IF(A118="","",Einstellungen!$B$5)</f>
        <v/>
      </c>
      <c r="G118" s="98">
        <f>IF(A118="","",E118*F118)</f>
        <v/>
      </c>
      <c r="H118" s="16">
        <f>IF(A118="","",ISOWEEKNUM(A118))</f>
        <v/>
      </c>
      <c r="I118" s="14">
        <f>IF(A118="","",TEXT(A118,"[$-de-DE]MMMM YYYY"))</f>
        <v/>
      </c>
      <c r="J118" s="14" t="n"/>
      <c r="K118" s="14" t="n"/>
    </row>
    <row r="119" ht="54" customHeight="1" s="54">
      <c r="A119" s="13" t="n"/>
      <c r="B119" s="14" t="n"/>
      <c r="C119" s="14" t="n"/>
      <c r="D119" s="14" t="n"/>
      <c r="E119" s="15" t="n"/>
      <c r="F119" s="94">
        <f>IF(A119="","",Einstellungen!$B$5)</f>
        <v/>
      </c>
      <c r="G119" s="98">
        <f>IF(A119="","",E119*F119)</f>
        <v/>
      </c>
      <c r="H119" s="16">
        <f>IF(A119="","",ISOWEEKNUM(A119))</f>
        <v/>
      </c>
      <c r="I119" s="14">
        <f>IF(A119="","",TEXT(A119,"[$-de-DE]MMMM YYYY"))</f>
        <v/>
      </c>
      <c r="J119" s="14" t="n"/>
      <c r="K119" s="14" t="n"/>
    </row>
    <row r="120" ht="54" customHeight="1" s="54">
      <c r="A120" s="13" t="n"/>
      <c r="B120" s="14" t="n"/>
      <c r="C120" s="14" t="n"/>
      <c r="D120" s="14" t="n"/>
      <c r="E120" s="15" t="n"/>
      <c r="F120" s="94">
        <f>IF(A120="","",Einstellungen!$B$5)</f>
        <v/>
      </c>
      <c r="G120" s="98">
        <f>IF(A120="","",E120*F120)</f>
        <v/>
      </c>
      <c r="H120" s="16">
        <f>IF(A120="","",ISOWEEKNUM(A120))</f>
        <v/>
      </c>
      <c r="I120" s="14">
        <f>IF(A120="","",TEXT(A120,"[$-de-DE]MMMM YYYY"))</f>
        <v/>
      </c>
      <c r="J120" s="14" t="n"/>
      <c r="K120" s="14" t="n"/>
    </row>
    <row r="121" ht="54" customHeight="1" s="54">
      <c r="A121" s="13" t="n"/>
      <c r="B121" s="14" t="n"/>
      <c r="C121" s="14" t="n"/>
      <c r="D121" s="14" t="n"/>
      <c r="E121" s="15" t="n"/>
      <c r="F121" s="94">
        <f>IF(A121="","",Einstellungen!$B$5)</f>
        <v/>
      </c>
      <c r="G121" s="98">
        <f>IF(A121="","",E121*F121)</f>
        <v/>
      </c>
      <c r="H121" s="16">
        <f>IF(A121="","",ISOWEEKNUM(A121))</f>
        <v/>
      </c>
      <c r="I121" s="14">
        <f>IF(A121="","",TEXT(A121,"[$-de-DE]MMMM YYYY"))</f>
        <v/>
      </c>
      <c r="J121" s="14" t="n"/>
      <c r="K121" s="14" t="n"/>
    </row>
    <row r="122" ht="54" customHeight="1" s="54">
      <c r="A122" s="13" t="n"/>
      <c r="B122" s="14" t="n"/>
      <c r="C122" s="14" t="n"/>
      <c r="D122" s="14" t="n"/>
      <c r="E122" s="15" t="n"/>
      <c r="F122" s="94">
        <f>IF(A122="","",Einstellungen!$B$5)</f>
        <v/>
      </c>
      <c r="G122" s="98">
        <f>IF(A122="","",E122*F122)</f>
        <v/>
      </c>
      <c r="H122" s="16">
        <f>IF(A122="","",ISOWEEKNUM(A122))</f>
        <v/>
      </c>
      <c r="I122" s="14">
        <f>IF(A122="","",TEXT(A122,"[$-de-DE]MMMM YYYY"))</f>
        <v/>
      </c>
      <c r="J122" s="14" t="n"/>
      <c r="K122" s="14" t="n"/>
    </row>
    <row r="123" ht="54" customHeight="1" s="54">
      <c r="A123" s="13" t="n"/>
      <c r="B123" s="14" t="n"/>
      <c r="C123" s="14" t="n"/>
      <c r="D123" s="14" t="n"/>
      <c r="E123" s="15" t="n"/>
      <c r="F123" s="94">
        <f>IF(A123="","",Einstellungen!$B$5)</f>
        <v/>
      </c>
      <c r="G123" s="98">
        <f>IF(A123="","",E123*F123)</f>
        <v/>
      </c>
      <c r="H123" s="16">
        <f>IF(A123="","",ISOWEEKNUM(A123))</f>
        <v/>
      </c>
      <c r="I123" s="14">
        <f>IF(A123="","",TEXT(A123,"[$-de-DE]MMMM YYYY"))</f>
        <v/>
      </c>
      <c r="J123" s="14" t="n"/>
      <c r="K123" s="14" t="n"/>
    </row>
    <row r="124" ht="54" customHeight="1" s="54">
      <c r="A124" s="13" t="n"/>
      <c r="B124" s="14" t="n"/>
      <c r="C124" s="14" t="n"/>
      <c r="D124" s="14" t="n"/>
      <c r="E124" s="15" t="n"/>
      <c r="F124" s="94">
        <f>IF(A124="","",Einstellungen!$B$5)</f>
        <v/>
      </c>
      <c r="G124" s="98">
        <f>IF(A124="","",E124*F124)</f>
        <v/>
      </c>
      <c r="H124" s="16">
        <f>IF(A124="","",ISOWEEKNUM(A124))</f>
        <v/>
      </c>
      <c r="I124" s="14">
        <f>IF(A124="","",TEXT(A124,"[$-de-DE]MMMM YYYY"))</f>
        <v/>
      </c>
      <c r="J124" s="14" t="n"/>
      <c r="K124" s="14" t="n"/>
    </row>
    <row r="125" ht="54" customHeight="1" s="54">
      <c r="A125" s="13" t="n"/>
      <c r="B125" s="14" t="n"/>
      <c r="C125" s="14" t="n"/>
      <c r="D125" s="14" t="n"/>
      <c r="E125" s="15" t="n"/>
      <c r="F125" s="94">
        <f>IF(A125="","",Einstellungen!$B$5)</f>
        <v/>
      </c>
      <c r="G125" s="98">
        <f>IF(A125="","",E125*F125)</f>
        <v/>
      </c>
      <c r="H125" s="16">
        <f>IF(A125="","",ISOWEEKNUM(A125))</f>
        <v/>
      </c>
      <c r="I125" s="14">
        <f>IF(A125="","",TEXT(A125,"[$-de-DE]MMMM YYYY"))</f>
        <v/>
      </c>
      <c r="J125" s="14" t="n"/>
      <c r="K125" s="14" t="n"/>
    </row>
    <row r="126" ht="54" customHeight="1" s="54">
      <c r="A126" s="13" t="n"/>
      <c r="B126" s="14" t="n"/>
      <c r="C126" s="14" t="n"/>
      <c r="D126" s="14" t="n"/>
      <c r="E126" s="15" t="n"/>
      <c r="F126" s="94">
        <f>IF(A126="","",Einstellungen!$B$5)</f>
        <v/>
      </c>
      <c r="G126" s="98">
        <f>IF(A126="","",E126*F126)</f>
        <v/>
      </c>
      <c r="H126" s="16">
        <f>IF(A126="","",ISOWEEKNUM(A126))</f>
        <v/>
      </c>
      <c r="I126" s="14">
        <f>IF(A126="","",TEXT(A126,"[$-de-DE]MMMM YYYY"))</f>
        <v/>
      </c>
      <c r="J126" s="14" t="n"/>
      <c r="K126" s="14" t="n"/>
    </row>
    <row r="127" ht="54" customHeight="1" s="54">
      <c r="A127" s="13" t="n"/>
      <c r="B127" s="14" t="n"/>
      <c r="C127" s="14" t="n"/>
      <c r="D127" s="14" t="n"/>
      <c r="E127" s="15" t="n"/>
      <c r="F127" s="94">
        <f>IF(A127="","",Einstellungen!$B$5)</f>
        <v/>
      </c>
      <c r="G127" s="98">
        <f>IF(A127="","",E127*F127)</f>
        <v/>
      </c>
      <c r="H127" s="16">
        <f>IF(A127="","",ISOWEEKNUM(A127))</f>
        <v/>
      </c>
      <c r="I127" s="14">
        <f>IF(A127="","",TEXT(A127,"[$-de-DE]MMMM YYYY"))</f>
        <v/>
      </c>
      <c r="J127" s="14" t="n"/>
      <c r="K127" s="14" t="n"/>
    </row>
    <row r="128" ht="54" customHeight="1" s="54">
      <c r="A128" s="13" t="n"/>
      <c r="B128" s="14" t="n"/>
      <c r="C128" s="14" t="n"/>
      <c r="D128" s="14" t="n"/>
      <c r="E128" s="15" t="n"/>
      <c r="F128" s="94">
        <f>IF(A128="","",Einstellungen!$B$5)</f>
        <v/>
      </c>
      <c r="G128" s="98">
        <f>IF(A128="","",E128*F128)</f>
        <v/>
      </c>
      <c r="H128" s="16">
        <f>IF(A128="","",ISOWEEKNUM(A128))</f>
        <v/>
      </c>
      <c r="I128" s="14">
        <f>IF(A128="","",TEXT(A128,"[$-de-DE]MMMM YYYY"))</f>
        <v/>
      </c>
      <c r="J128" s="14" t="n"/>
      <c r="K128" s="14" t="n"/>
    </row>
    <row r="129" ht="54" customHeight="1" s="54">
      <c r="A129" s="13" t="n"/>
      <c r="B129" s="14" t="n"/>
      <c r="C129" s="14" t="n"/>
      <c r="D129" s="14" t="n"/>
      <c r="E129" s="15" t="n"/>
      <c r="F129" s="94">
        <f>IF(A129="","",Einstellungen!$B$5)</f>
        <v/>
      </c>
      <c r="G129" s="98">
        <f>IF(A129="","",E129*F129)</f>
        <v/>
      </c>
      <c r="H129" s="16">
        <f>IF(A129="","",ISOWEEKNUM(A129))</f>
        <v/>
      </c>
      <c r="I129" s="14">
        <f>IF(A129="","",TEXT(A129,"[$-de-DE]MMMM YYYY"))</f>
        <v/>
      </c>
      <c r="J129" s="14" t="n"/>
      <c r="K129" s="14" t="n"/>
    </row>
    <row r="130" ht="54" customHeight="1" s="54">
      <c r="A130" s="13" t="n"/>
      <c r="B130" s="14" t="n"/>
      <c r="C130" s="14" t="n"/>
      <c r="D130" s="14" t="n"/>
      <c r="E130" s="15" t="n"/>
      <c r="F130" s="94">
        <f>IF(A130="","",Einstellungen!$B$5)</f>
        <v/>
      </c>
      <c r="G130" s="98">
        <f>IF(A130="","",E130*F130)</f>
        <v/>
      </c>
      <c r="H130" s="16">
        <f>IF(A130="","",ISOWEEKNUM(A130))</f>
        <v/>
      </c>
      <c r="I130" s="14">
        <f>IF(A130="","",TEXT(A130,"[$-de-DE]MMMM YYYY"))</f>
        <v/>
      </c>
      <c r="J130" s="14" t="n"/>
      <c r="K130" s="14" t="n"/>
    </row>
    <row r="131" ht="54" customHeight="1" s="54">
      <c r="A131" s="13" t="n"/>
      <c r="B131" s="14" t="n"/>
      <c r="C131" s="14" t="n"/>
      <c r="D131" s="14" t="n"/>
      <c r="E131" s="15" t="n"/>
      <c r="F131" s="94">
        <f>IF(A131="","",Einstellungen!$B$5)</f>
        <v/>
      </c>
      <c r="G131" s="98">
        <f>IF(A131="","",E131*F131)</f>
        <v/>
      </c>
      <c r="H131" s="16">
        <f>IF(A131="","",ISOWEEKNUM(A131))</f>
        <v/>
      </c>
      <c r="I131" s="14">
        <f>IF(A131="","",TEXT(A131,"[$-de-DE]MMMM YYYY"))</f>
        <v/>
      </c>
      <c r="J131" s="14" t="n"/>
      <c r="K131" s="14" t="n"/>
    </row>
    <row r="132" ht="54" customHeight="1" s="54">
      <c r="A132" s="13" t="n"/>
      <c r="B132" s="14" t="n"/>
      <c r="C132" s="14" t="n"/>
      <c r="D132" s="14" t="n"/>
      <c r="E132" s="15" t="n"/>
      <c r="F132" s="94">
        <f>IF(A132="","",Einstellungen!$B$5)</f>
        <v/>
      </c>
      <c r="G132" s="98">
        <f>IF(A132="","",E132*F132)</f>
        <v/>
      </c>
      <c r="H132" s="16">
        <f>IF(A132="","",ISOWEEKNUM(A132))</f>
        <v/>
      </c>
      <c r="I132" s="14">
        <f>IF(A132="","",TEXT(A132,"[$-de-DE]MMMM YYYY"))</f>
        <v/>
      </c>
      <c r="J132" s="14" t="n"/>
      <c r="K132" s="14" t="n"/>
    </row>
    <row r="133" ht="54" customHeight="1" s="54">
      <c r="A133" s="13" t="n"/>
      <c r="B133" s="14" t="n"/>
      <c r="C133" s="14" t="n"/>
      <c r="D133" s="14" t="n"/>
      <c r="E133" s="15" t="n"/>
      <c r="F133" s="94">
        <f>IF(A133="","",Einstellungen!$B$5)</f>
        <v/>
      </c>
      <c r="G133" s="98">
        <f>IF(A133="","",E133*F133)</f>
        <v/>
      </c>
      <c r="H133" s="16">
        <f>IF(A133="","",ISOWEEKNUM(A133))</f>
        <v/>
      </c>
      <c r="I133" s="14">
        <f>IF(A133="","",TEXT(A133,"[$-de-DE]MMMM YYYY"))</f>
        <v/>
      </c>
      <c r="J133" s="14" t="n"/>
      <c r="K133" s="14" t="n"/>
    </row>
    <row r="134" ht="54" customHeight="1" s="54">
      <c r="A134" s="13" t="n"/>
      <c r="B134" s="14" t="n"/>
      <c r="C134" s="14" t="n"/>
      <c r="D134" s="14" t="n"/>
      <c r="E134" s="15" t="n"/>
      <c r="F134" s="94">
        <f>IF(A134="","",Einstellungen!$B$5)</f>
        <v/>
      </c>
      <c r="G134" s="98">
        <f>IF(A134="","",E134*F134)</f>
        <v/>
      </c>
      <c r="H134" s="16">
        <f>IF(A134="","",ISOWEEKNUM(A134))</f>
        <v/>
      </c>
      <c r="I134" s="14">
        <f>IF(A134="","",TEXT(A134,"[$-de-DE]MMMM YYYY"))</f>
        <v/>
      </c>
      <c r="J134" s="14" t="n"/>
      <c r="K134" s="14" t="n"/>
    </row>
    <row r="135" ht="54" customHeight="1" s="54">
      <c r="A135" s="13" t="n"/>
      <c r="B135" s="14" t="n"/>
      <c r="C135" s="14" t="n"/>
      <c r="D135" s="14" t="n"/>
      <c r="E135" s="15" t="n"/>
      <c r="F135" s="94">
        <f>IF(A135="","",Einstellungen!$B$5)</f>
        <v/>
      </c>
      <c r="G135" s="98">
        <f>IF(A135="","",E135*F135)</f>
        <v/>
      </c>
      <c r="H135" s="16">
        <f>IF(A135="","",ISOWEEKNUM(A135))</f>
        <v/>
      </c>
      <c r="I135" s="14">
        <f>IF(A135="","",TEXT(A135,"[$-de-DE]MMMM YYYY"))</f>
        <v/>
      </c>
      <c r="J135" s="14" t="n"/>
      <c r="K135" s="14" t="n"/>
    </row>
    <row r="136" ht="54" customHeight="1" s="54">
      <c r="A136" s="13" t="n"/>
      <c r="B136" s="14" t="n"/>
      <c r="C136" s="14" t="n"/>
      <c r="D136" s="14" t="n"/>
      <c r="E136" s="15" t="n"/>
      <c r="F136" s="94">
        <f>IF(A136="","",Einstellungen!$B$5)</f>
        <v/>
      </c>
      <c r="G136" s="98">
        <f>IF(A136="","",E136*F136)</f>
        <v/>
      </c>
      <c r="H136" s="16">
        <f>IF(A136="","",ISOWEEKNUM(A136))</f>
        <v/>
      </c>
      <c r="I136" s="14">
        <f>IF(A136="","",TEXT(A136,"[$-de-DE]MMMM YYYY"))</f>
        <v/>
      </c>
      <c r="J136" s="14" t="n"/>
      <c r="K136" s="14" t="n"/>
    </row>
    <row r="137" ht="54" customHeight="1" s="54">
      <c r="A137" s="13" t="n"/>
      <c r="B137" s="14" t="n"/>
      <c r="C137" s="14" t="n"/>
      <c r="D137" s="14" t="n"/>
      <c r="E137" s="15" t="n"/>
      <c r="F137" s="94">
        <f>IF(A137="","",Einstellungen!$B$5)</f>
        <v/>
      </c>
      <c r="G137" s="98">
        <f>IF(A137="","",E137*F137)</f>
        <v/>
      </c>
      <c r="H137" s="16">
        <f>IF(A137="","",ISOWEEKNUM(A137))</f>
        <v/>
      </c>
      <c r="I137" s="14">
        <f>IF(A137="","",TEXT(A137,"[$-de-DE]MMMM YYYY"))</f>
        <v/>
      </c>
      <c r="J137" s="14" t="n"/>
      <c r="K137" s="14" t="n"/>
    </row>
    <row r="138" ht="54" customHeight="1" s="54">
      <c r="A138" s="13" t="n"/>
      <c r="B138" s="14" t="n"/>
      <c r="C138" s="14" t="n"/>
      <c r="D138" s="14" t="n"/>
      <c r="E138" s="15" t="n"/>
      <c r="F138" s="94">
        <f>IF(A138="","",Einstellungen!$B$5)</f>
        <v/>
      </c>
      <c r="G138" s="98">
        <f>IF(A138="","",E138*F138)</f>
        <v/>
      </c>
      <c r="H138" s="16">
        <f>IF(A138="","",ISOWEEKNUM(A138))</f>
        <v/>
      </c>
      <c r="I138" s="14">
        <f>IF(A138="","",TEXT(A138,"[$-de-DE]MMMM YYYY"))</f>
        <v/>
      </c>
      <c r="J138" s="14" t="n"/>
      <c r="K138" s="14" t="n"/>
    </row>
    <row r="139" ht="54" customHeight="1" s="54">
      <c r="A139" s="13" t="n"/>
      <c r="B139" s="14" t="n"/>
      <c r="C139" s="14" t="n"/>
      <c r="D139" s="14" t="n"/>
      <c r="E139" s="15" t="n"/>
      <c r="F139" s="94">
        <f>IF(A139="","",Einstellungen!$B$5)</f>
        <v/>
      </c>
      <c r="G139" s="98">
        <f>IF(A139="","",E139*F139)</f>
        <v/>
      </c>
      <c r="H139" s="16">
        <f>IF(A139="","",ISOWEEKNUM(A139))</f>
        <v/>
      </c>
      <c r="I139" s="14">
        <f>IF(A139="","",TEXT(A139,"[$-de-DE]MMMM YYYY"))</f>
        <v/>
      </c>
      <c r="J139" s="14" t="n"/>
      <c r="K139" s="14" t="n"/>
    </row>
    <row r="140" ht="54" customHeight="1" s="54">
      <c r="A140" s="13" t="n"/>
      <c r="B140" s="14" t="n"/>
      <c r="C140" s="14" t="n"/>
      <c r="D140" s="14" t="n"/>
      <c r="E140" s="15" t="n"/>
      <c r="F140" s="94">
        <f>IF(A140="","",Einstellungen!$B$5)</f>
        <v/>
      </c>
      <c r="G140" s="98">
        <f>IF(A140="","",E140*F140)</f>
        <v/>
      </c>
      <c r="H140" s="16">
        <f>IF(A140="","",ISOWEEKNUM(A140))</f>
        <v/>
      </c>
      <c r="I140" s="14">
        <f>IF(A140="","",TEXT(A140,"[$-de-DE]MMMM YYYY"))</f>
        <v/>
      </c>
      <c r="J140" s="14" t="n"/>
      <c r="K140" s="14" t="n"/>
    </row>
    <row r="141" ht="54" customHeight="1" s="54">
      <c r="A141" s="13" t="n"/>
      <c r="B141" s="14" t="n"/>
      <c r="C141" s="14" t="n"/>
      <c r="D141" s="14" t="n"/>
      <c r="E141" s="15" t="n"/>
      <c r="F141" s="94">
        <f>IF(A141="","",Einstellungen!$B$5)</f>
        <v/>
      </c>
      <c r="G141" s="98">
        <f>IF(A141="","",E141*F141)</f>
        <v/>
      </c>
      <c r="H141" s="16">
        <f>IF(A141="","",ISOWEEKNUM(A141))</f>
        <v/>
      </c>
      <c r="I141" s="14">
        <f>IF(A141="","",TEXT(A141,"[$-de-DE]MMMM YYYY"))</f>
        <v/>
      </c>
      <c r="J141" s="14" t="n"/>
      <c r="K141" s="14" t="n"/>
    </row>
    <row r="142" ht="54" customHeight="1" s="54">
      <c r="A142" s="13" t="n"/>
      <c r="B142" s="14" t="n"/>
      <c r="C142" s="14" t="n"/>
      <c r="D142" s="14" t="n"/>
      <c r="E142" s="15" t="n"/>
      <c r="F142" s="94">
        <f>IF(A142="","",Einstellungen!$B$5)</f>
        <v/>
      </c>
      <c r="G142" s="98">
        <f>IF(A142="","",E142*F142)</f>
        <v/>
      </c>
      <c r="H142" s="16">
        <f>IF(A142="","",ISOWEEKNUM(A142))</f>
        <v/>
      </c>
      <c r="I142" s="14">
        <f>IF(A142="","",TEXT(A142,"[$-de-DE]MMMM YYYY"))</f>
        <v/>
      </c>
      <c r="J142" s="14" t="n"/>
      <c r="K142" s="14" t="n"/>
    </row>
    <row r="143" ht="54" customHeight="1" s="54">
      <c r="A143" s="13" t="n"/>
      <c r="B143" s="14" t="n"/>
      <c r="C143" s="14" t="n"/>
      <c r="D143" s="14" t="n"/>
      <c r="E143" s="15" t="n"/>
      <c r="F143" s="94">
        <f>IF(A143="","",Einstellungen!$B$5)</f>
        <v/>
      </c>
      <c r="G143" s="98">
        <f>IF(A143="","",E143*F143)</f>
        <v/>
      </c>
      <c r="H143" s="16">
        <f>IF(A143="","",ISOWEEKNUM(A143))</f>
        <v/>
      </c>
      <c r="I143" s="14">
        <f>IF(A143="","",TEXT(A143,"[$-de-DE]MMMM YYYY"))</f>
        <v/>
      </c>
      <c r="J143" s="14" t="n"/>
      <c r="K143" s="14" t="n"/>
    </row>
    <row r="144" ht="54" customHeight="1" s="54">
      <c r="A144" s="13" t="n"/>
      <c r="B144" s="14" t="n"/>
      <c r="C144" s="14" t="n"/>
      <c r="D144" s="14" t="n"/>
      <c r="E144" s="15" t="n"/>
      <c r="F144" s="94">
        <f>IF(A144="","",Einstellungen!$B$5)</f>
        <v/>
      </c>
      <c r="G144" s="98">
        <f>IF(A144="","",E144*F144)</f>
        <v/>
      </c>
      <c r="H144" s="16">
        <f>IF(A144="","",ISOWEEKNUM(A144))</f>
        <v/>
      </c>
      <c r="I144" s="14">
        <f>IF(A144="","",TEXT(A144,"[$-de-DE]MMMM YYYY"))</f>
        <v/>
      </c>
      <c r="J144" s="14" t="n"/>
      <c r="K144" s="14" t="n"/>
    </row>
    <row r="145" ht="54" customHeight="1" s="54">
      <c r="A145" s="13" t="n"/>
      <c r="B145" s="14" t="n"/>
      <c r="C145" s="14" t="n"/>
      <c r="D145" s="14" t="n"/>
      <c r="E145" s="15" t="n"/>
      <c r="F145" s="94">
        <f>IF(A145="","",Einstellungen!$B$5)</f>
        <v/>
      </c>
      <c r="G145" s="98">
        <f>IF(A145="","",E145*F145)</f>
        <v/>
      </c>
      <c r="H145" s="16">
        <f>IF(A145="","",ISOWEEKNUM(A145))</f>
        <v/>
      </c>
      <c r="I145" s="14">
        <f>IF(A145="","",TEXT(A145,"[$-de-DE]MMMM YYYY"))</f>
        <v/>
      </c>
      <c r="J145" s="14" t="n"/>
      <c r="K145" s="14" t="n"/>
    </row>
    <row r="146" ht="54" customHeight="1" s="54">
      <c r="A146" s="13" t="n"/>
      <c r="B146" s="14" t="n"/>
      <c r="C146" s="14" t="n"/>
      <c r="D146" s="14" t="n"/>
      <c r="E146" s="15" t="n"/>
      <c r="F146" s="94">
        <f>IF(A146="","",Einstellungen!$B$5)</f>
        <v/>
      </c>
      <c r="G146" s="98">
        <f>IF(A146="","",E146*F146)</f>
        <v/>
      </c>
      <c r="H146" s="16">
        <f>IF(A146="","",ISOWEEKNUM(A146))</f>
        <v/>
      </c>
      <c r="I146" s="14">
        <f>IF(A146="","",TEXT(A146,"[$-de-DE]MMMM YYYY"))</f>
        <v/>
      </c>
      <c r="J146" s="14" t="n"/>
      <c r="K146" s="14" t="n"/>
    </row>
    <row r="147" ht="54" customHeight="1" s="54">
      <c r="A147" s="13" t="n"/>
      <c r="B147" s="14" t="n"/>
      <c r="C147" s="14" t="n"/>
      <c r="D147" s="14" t="n"/>
      <c r="E147" s="15" t="n"/>
      <c r="F147" s="94">
        <f>IF(A147="","",Einstellungen!$B$5)</f>
        <v/>
      </c>
      <c r="G147" s="98">
        <f>IF(A147="","",E147*F147)</f>
        <v/>
      </c>
      <c r="H147" s="16">
        <f>IF(A147="","",ISOWEEKNUM(A147))</f>
        <v/>
      </c>
      <c r="I147" s="14">
        <f>IF(A147="","",TEXT(A147,"[$-de-DE]MMMM YYYY"))</f>
        <v/>
      </c>
      <c r="J147" s="14" t="n"/>
      <c r="K147" s="14" t="n"/>
    </row>
    <row r="148" ht="54" customHeight="1" s="54">
      <c r="A148" s="13" t="n"/>
      <c r="B148" s="14" t="n"/>
      <c r="C148" s="14" t="n"/>
      <c r="D148" s="14" t="n"/>
      <c r="E148" s="15" t="n"/>
      <c r="F148" s="94">
        <f>IF(A148="","",Einstellungen!$B$5)</f>
        <v/>
      </c>
      <c r="G148" s="98">
        <f>IF(A148="","",E148*F148)</f>
        <v/>
      </c>
      <c r="H148" s="16">
        <f>IF(A148="","",ISOWEEKNUM(A148))</f>
        <v/>
      </c>
      <c r="I148" s="14">
        <f>IF(A148="","",TEXT(A148,"[$-de-DE]MMMM YYYY"))</f>
        <v/>
      </c>
      <c r="J148" s="14" t="n"/>
      <c r="K148" s="14" t="n"/>
    </row>
    <row r="149" ht="54" customHeight="1" s="54">
      <c r="A149" s="13" t="n"/>
      <c r="B149" s="14" t="n"/>
      <c r="C149" s="14" t="n"/>
      <c r="D149" s="14" t="n"/>
      <c r="E149" s="15" t="n"/>
      <c r="F149" s="94">
        <f>IF(A149="","",Einstellungen!$B$5)</f>
        <v/>
      </c>
      <c r="G149" s="98">
        <f>IF(A149="","",E149*F149)</f>
        <v/>
      </c>
      <c r="H149" s="16">
        <f>IF(A149="","",ISOWEEKNUM(A149))</f>
        <v/>
      </c>
      <c r="I149" s="14">
        <f>IF(A149="","",TEXT(A149,"[$-de-DE]MMMM YYYY"))</f>
        <v/>
      </c>
      <c r="J149" s="14" t="n"/>
      <c r="K149" s="14" t="n"/>
    </row>
    <row r="150" ht="54" customHeight="1" s="54">
      <c r="A150" s="13" t="n"/>
      <c r="B150" s="14" t="n"/>
      <c r="C150" s="14" t="n"/>
      <c r="D150" s="14" t="n"/>
      <c r="E150" s="15" t="n"/>
      <c r="F150" s="94">
        <f>IF(A150="","",Einstellungen!$B$5)</f>
        <v/>
      </c>
      <c r="G150" s="98">
        <f>IF(A150="","",E150*F150)</f>
        <v/>
      </c>
      <c r="H150" s="16">
        <f>IF(A150="","",ISOWEEKNUM(A150))</f>
        <v/>
      </c>
      <c r="I150" s="14">
        <f>IF(A150="","",TEXT(A150,"[$-de-DE]MMMM YYYY"))</f>
        <v/>
      </c>
      <c r="J150" s="14" t="n"/>
      <c r="K150" s="14" t="n"/>
    </row>
    <row r="151" ht="54" customHeight="1" s="54">
      <c r="A151" s="13" t="n"/>
      <c r="B151" s="14" t="n"/>
      <c r="C151" s="14" t="n"/>
      <c r="D151" s="14" t="n"/>
      <c r="E151" s="15" t="n"/>
      <c r="F151" s="94">
        <f>IF(A151="","",Einstellungen!$B$5)</f>
        <v/>
      </c>
      <c r="G151" s="98">
        <f>IF(A151="","",E151*F151)</f>
        <v/>
      </c>
      <c r="H151" s="16">
        <f>IF(A151="","",ISOWEEKNUM(A151))</f>
        <v/>
      </c>
      <c r="I151" s="14">
        <f>IF(A151="","",TEXT(A151,"[$-de-DE]MMMM YYYY"))</f>
        <v/>
      </c>
      <c r="J151" s="14" t="n"/>
      <c r="K151" s="14" t="n"/>
    </row>
    <row r="152" ht="54" customHeight="1" s="54">
      <c r="A152" s="13" t="n"/>
      <c r="B152" s="14" t="n"/>
      <c r="C152" s="14" t="n"/>
      <c r="D152" s="14" t="n"/>
      <c r="E152" s="15" t="n"/>
      <c r="F152" s="94">
        <f>IF(A152="","",Einstellungen!$B$5)</f>
        <v/>
      </c>
      <c r="G152" s="98">
        <f>IF(A152="","",E152*F152)</f>
        <v/>
      </c>
      <c r="H152" s="16">
        <f>IF(A152="","",ISOWEEKNUM(A152))</f>
        <v/>
      </c>
      <c r="I152" s="14">
        <f>IF(A152="","",TEXT(A152,"[$-de-DE]MMMM YYYY"))</f>
        <v/>
      </c>
      <c r="J152" s="14" t="n"/>
      <c r="K152" s="14" t="n"/>
    </row>
    <row r="153" ht="54" customHeight="1" s="54">
      <c r="A153" s="13" t="n"/>
      <c r="B153" s="14" t="n"/>
      <c r="C153" s="14" t="n"/>
      <c r="D153" s="14" t="n"/>
      <c r="E153" s="15" t="n"/>
      <c r="F153" s="94">
        <f>IF(A153="","",Einstellungen!$B$5)</f>
        <v/>
      </c>
      <c r="G153" s="98">
        <f>IF(A153="","",E153*F153)</f>
        <v/>
      </c>
      <c r="H153" s="16">
        <f>IF(A153="","",ISOWEEKNUM(A153))</f>
        <v/>
      </c>
      <c r="I153" s="14">
        <f>IF(A153="","",TEXT(A153,"[$-de-DE]MMMM YYYY"))</f>
        <v/>
      </c>
      <c r="J153" s="14" t="n"/>
      <c r="K153" s="14" t="n"/>
    </row>
    <row r="154" ht="54" customHeight="1" s="54">
      <c r="A154" s="13" t="n"/>
      <c r="B154" s="14" t="n"/>
      <c r="C154" s="14" t="n"/>
      <c r="D154" s="14" t="n"/>
      <c r="E154" s="15" t="n"/>
      <c r="F154" s="94">
        <f>IF(A154="","",Einstellungen!$B$5)</f>
        <v/>
      </c>
      <c r="G154" s="98">
        <f>IF(A154="","",E154*F154)</f>
        <v/>
      </c>
      <c r="H154" s="16">
        <f>IF(A154="","",ISOWEEKNUM(A154))</f>
        <v/>
      </c>
      <c r="I154" s="14">
        <f>IF(A154="","",TEXT(A154,"[$-de-DE]MMMM YYYY"))</f>
        <v/>
      </c>
      <c r="J154" s="14" t="n"/>
      <c r="K154" s="14" t="n"/>
    </row>
    <row r="155" ht="54" customHeight="1" s="54">
      <c r="A155" s="13" t="n"/>
      <c r="B155" s="14" t="n"/>
      <c r="C155" s="14" t="n"/>
      <c r="D155" s="14" t="n"/>
      <c r="E155" s="15" t="n"/>
      <c r="F155" s="94">
        <f>IF(A155="","",Einstellungen!$B$5)</f>
        <v/>
      </c>
      <c r="G155" s="98">
        <f>IF(A155="","",E155*F155)</f>
        <v/>
      </c>
      <c r="H155" s="16">
        <f>IF(A155="","",ISOWEEKNUM(A155))</f>
        <v/>
      </c>
      <c r="I155" s="14">
        <f>IF(A155="","",TEXT(A155,"[$-de-DE]MMMM YYYY"))</f>
        <v/>
      </c>
      <c r="J155" s="14" t="n"/>
      <c r="K155" s="14" t="n"/>
    </row>
    <row r="156" ht="54" customHeight="1" s="54">
      <c r="A156" s="13" t="n"/>
      <c r="B156" s="14" t="n"/>
      <c r="C156" s="14" t="n"/>
      <c r="D156" s="14" t="n"/>
      <c r="E156" s="15" t="n"/>
      <c r="F156" s="94">
        <f>IF(A156="","",Einstellungen!$B$5)</f>
        <v/>
      </c>
      <c r="G156" s="98">
        <f>IF(A156="","",E156*F156)</f>
        <v/>
      </c>
      <c r="H156" s="16">
        <f>IF(A156="","",ISOWEEKNUM(A156))</f>
        <v/>
      </c>
      <c r="I156" s="14">
        <f>IF(A156="","",TEXT(A156,"[$-de-DE]MMMM YYYY"))</f>
        <v/>
      </c>
      <c r="J156" s="14" t="n"/>
      <c r="K156" s="14" t="n"/>
    </row>
    <row r="157" ht="54" customHeight="1" s="54">
      <c r="A157" s="13" t="n"/>
      <c r="B157" s="14" t="n"/>
      <c r="C157" s="14" t="n"/>
      <c r="D157" s="14" t="n"/>
      <c r="E157" s="15" t="n"/>
      <c r="F157" s="94">
        <f>IF(A157="","",Einstellungen!$B$5)</f>
        <v/>
      </c>
      <c r="G157" s="98">
        <f>IF(A157="","",E157*F157)</f>
        <v/>
      </c>
      <c r="H157" s="16">
        <f>IF(A157="","",ISOWEEKNUM(A157))</f>
        <v/>
      </c>
      <c r="I157" s="14">
        <f>IF(A157="","",TEXT(A157,"[$-de-DE]MMMM YYYY"))</f>
        <v/>
      </c>
      <c r="J157" s="14" t="n"/>
      <c r="K157" s="14" t="n"/>
    </row>
    <row r="158" ht="54" customHeight="1" s="54">
      <c r="A158" s="13" t="n"/>
      <c r="B158" s="14" t="n"/>
      <c r="C158" s="14" t="n"/>
      <c r="D158" s="14" t="n"/>
      <c r="E158" s="15" t="n"/>
      <c r="F158" s="94">
        <f>IF(A158="","",Einstellungen!$B$5)</f>
        <v/>
      </c>
      <c r="G158" s="98">
        <f>IF(A158="","",E158*F158)</f>
        <v/>
      </c>
      <c r="H158" s="16">
        <f>IF(A158="","",ISOWEEKNUM(A158))</f>
        <v/>
      </c>
      <c r="I158" s="14">
        <f>IF(A158="","",TEXT(A158,"[$-de-DE]MMMM YYYY"))</f>
        <v/>
      </c>
      <c r="J158" s="14" t="n"/>
      <c r="K158" s="14" t="n"/>
    </row>
    <row r="159" ht="54" customHeight="1" s="54">
      <c r="A159" s="13" t="n"/>
      <c r="B159" s="14" t="n"/>
      <c r="C159" s="14" t="n"/>
      <c r="D159" s="14" t="n"/>
      <c r="E159" s="15" t="n"/>
      <c r="F159" s="94">
        <f>IF(A159="","",Einstellungen!$B$5)</f>
        <v/>
      </c>
      <c r="G159" s="98">
        <f>IF(A159="","",E159*F159)</f>
        <v/>
      </c>
      <c r="H159" s="16">
        <f>IF(A159="","",ISOWEEKNUM(A159))</f>
        <v/>
      </c>
      <c r="I159" s="14">
        <f>IF(A159="","",TEXT(A159,"[$-de-DE]MMMM YYYY"))</f>
        <v/>
      </c>
      <c r="J159" s="14" t="n"/>
      <c r="K159" s="14" t="n"/>
    </row>
    <row r="160" ht="54" customHeight="1" s="54">
      <c r="A160" s="13" t="n"/>
      <c r="B160" s="14" t="n"/>
      <c r="C160" s="14" t="n"/>
      <c r="D160" s="14" t="n"/>
      <c r="E160" s="15" t="n"/>
      <c r="F160" s="94">
        <f>IF(A160="","",Einstellungen!$B$5)</f>
        <v/>
      </c>
      <c r="G160" s="98">
        <f>IF(A160="","",E160*F160)</f>
        <v/>
      </c>
      <c r="H160" s="16">
        <f>IF(A160="","",ISOWEEKNUM(A160))</f>
        <v/>
      </c>
      <c r="I160" s="14">
        <f>IF(A160="","",TEXT(A160,"[$-de-DE]MMMM YYYY"))</f>
        <v/>
      </c>
      <c r="J160" s="14" t="n"/>
      <c r="K160" s="14" t="n"/>
    </row>
    <row r="161" ht="54" customHeight="1" s="54">
      <c r="A161" s="13" t="n"/>
      <c r="B161" s="14" t="n"/>
      <c r="C161" s="14" t="n"/>
      <c r="D161" s="14" t="n"/>
      <c r="E161" s="15" t="n"/>
      <c r="F161" s="94">
        <f>IF(A161="","",Einstellungen!$B$5)</f>
        <v/>
      </c>
      <c r="G161" s="98">
        <f>IF(A161="","",E161*F161)</f>
        <v/>
      </c>
      <c r="H161" s="16">
        <f>IF(A161="","",ISOWEEKNUM(A161))</f>
        <v/>
      </c>
      <c r="I161" s="14">
        <f>IF(A161="","",TEXT(A161,"[$-de-DE]MMMM YYYY"))</f>
        <v/>
      </c>
      <c r="J161" s="14" t="n"/>
      <c r="K161" s="14" t="n"/>
    </row>
    <row r="162" ht="54" customHeight="1" s="54">
      <c r="A162" s="13" t="n"/>
      <c r="B162" s="14" t="n"/>
      <c r="C162" s="14" t="n"/>
      <c r="D162" s="14" t="n"/>
      <c r="E162" s="15" t="n"/>
      <c r="F162" s="94">
        <f>IF(A162="","",Einstellungen!$B$5)</f>
        <v/>
      </c>
      <c r="G162" s="98">
        <f>IF(A162="","",E162*F162)</f>
        <v/>
      </c>
      <c r="H162" s="16">
        <f>IF(A162="","",ISOWEEKNUM(A162))</f>
        <v/>
      </c>
      <c r="I162" s="14">
        <f>IF(A162="","",TEXT(A162,"[$-de-DE]MMMM YYYY"))</f>
        <v/>
      </c>
      <c r="J162" s="14" t="n"/>
      <c r="K162" s="14" t="n"/>
    </row>
    <row r="163" ht="54" customHeight="1" s="54">
      <c r="A163" s="13" t="n"/>
      <c r="B163" s="14" t="n"/>
      <c r="C163" s="14" t="n"/>
      <c r="D163" s="14" t="n"/>
      <c r="E163" s="15" t="n"/>
      <c r="F163" s="94">
        <f>IF(A163="","",Einstellungen!$B$5)</f>
        <v/>
      </c>
      <c r="G163" s="98">
        <f>IF(A163="","",E163*F163)</f>
        <v/>
      </c>
      <c r="H163" s="16">
        <f>IF(A163="","",ISOWEEKNUM(A163))</f>
        <v/>
      </c>
      <c r="I163" s="14">
        <f>IF(A163="","",TEXT(A163,"[$-de-DE]MMMM YYYY"))</f>
        <v/>
      </c>
      <c r="J163" s="14" t="n"/>
      <c r="K163" s="14" t="n"/>
    </row>
    <row r="164" ht="54" customHeight="1" s="54">
      <c r="A164" s="13" t="n"/>
      <c r="B164" s="14" t="n"/>
      <c r="C164" s="14" t="n"/>
      <c r="D164" s="14" t="n"/>
      <c r="E164" s="15" t="n"/>
      <c r="F164" s="94">
        <f>IF(A164="","",Einstellungen!$B$5)</f>
        <v/>
      </c>
      <c r="G164" s="98">
        <f>IF(A164="","",E164*F164)</f>
        <v/>
      </c>
      <c r="H164" s="16">
        <f>IF(A164="","",ISOWEEKNUM(A164))</f>
        <v/>
      </c>
      <c r="I164" s="14">
        <f>IF(A164="","",TEXT(A164,"[$-de-DE]MMMM YYYY"))</f>
        <v/>
      </c>
      <c r="J164" s="14" t="n"/>
      <c r="K164" s="14" t="n"/>
    </row>
    <row r="165" ht="54" customHeight="1" s="54">
      <c r="A165" s="13" t="n"/>
      <c r="B165" s="14" t="n"/>
      <c r="C165" s="14" t="n"/>
      <c r="D165" s="14" t="n"/>
      <c r="E165" s="15" t="n"/>
      <c r="F165" s="94">
        <f>IF(A165="","",Einstellungen!$B$5)</f>
        <v/>
      </c>
      <c r="G165" s="98">
        <f>IF(A165="","",E165*F165)</f>
        <v/>
      </c>
      <c r="H165" s="16">
        <f>IF(A165="","",ISOWEEKNUM(A165))</f>
        <v/>
      </c>
      <c r="I165" s="14">
        <f>IF(A165="","",TEXT(A165,"[$-de-DE]MMMM YYYY"))</f>
        <v/>
      </c>
      <c r="J165" s="14" t="n"/>
      <c r="K165" s="14" t="n"/>
    </row>
    <row r="166" ht="54" customHeight="1" s="54">
      <c r="A166" s="13" t="n"/>
      <c r="B166" s="14" t="n"/>
      <c r="C166" s="14" t="n"/>
      <c r="D166" s="14" t="n"/>
      <c r="E166" s="15" t="n"/>
      <c r="F166" s="94">
        <f>IF(A166="","",Einstellungen!$B$5)</f>
        <v/>
      </c>
      <c r="G166" s="98">
        <f>IF(A166="","",E166*F166)</f>
        <v/>
      </c>
      <c r="H166" s="16">
        <f>IF(A166="","",ISOWEEKNUM(A166))</f>
        <v/>
      </c>
      <c r="I166" s="14">
        <f>IF(A166="","",TEXT(A166,"[$-de-DE]MMMM YYYY"))</f>
        <v/>
      </c>
      <c r="J166" s="14" t="n"/>
      <c r="K166" s="14" t="n"/>
    </row>
    <row r="167" ht="54" customHeight="1" s="54">
      <c r="A167" s="13" t="n"/>
      <c r="B167" s="14" t="n"/>
      <c r="C167" s="14" t="n"/>
      <c r="D167" s="14" t="n"/>
      <c r="E167" s="15" t="n"/>
      <c r="F167" s="94">
        <f>IF(A167="","",Einstellungen!$B$5)</f>
        <v/>
      </c>
      <c r="G167" s="98">
        <f>IF(A167="","",E167*F167)</f>
        <v/>
      </c>
      <c r="H167" s="16">
        <f>IF(A167="","",ISOWEEKNUM(A167))</f>
        <v/>
      </c>
      <c r="I167" s="14">
        <f>IF(A167="","",TEXT(A167,"[$-de-DE]MMMM YYYY"))</f>
        <v/>
      </c>
      <c r="J167" s="14" t="n"/>
      <c r="K167" s="14" t="n"/>
    </row>
    <row r="168" ht="54" customHeight="1" s="54">
      <c r="A168" s="13" t="n"/>
      <c r="B168" s="14" t="n"/>
      <c r="C168" s="14" t="n"/>
      <c r="D168" s="14" t="n"/>
      <c r="E168" s="15" t="n"/>
      <c r="F168" s="94">
        <f>IF(A168="","",Einstellungen!$B$5)</f>
        <v/>
      </c>
      <c r="G168" s="98">
        <f>IF(A168="","",E168*F168)</f>
        <v/>
      </c>
      <c r="H168" s="16">
        <f>IF(A168="","",ISOWEEKNUM(A168))</f>
        <v/>
      </c>
      <c r="I168" s="14">
        <f>IF(A168="","",TEXT(A168,"[$-de-DE]MMMM YYYY"))</f>
        <v/>
      </c>
      <c r="J168" s="14" t="n"/>
      <c r="K168" s="14" t="n"/>
    </row>
    <row r="169" ht="54" customHeight="1" s="54">
      <c r="A169" s="13" t="n"/>
      <c r="B169" s="14" t="n"/>
      <c r="C169" s="14" t="n"/>
      <c r="D169" s="14" t="n"/>
      <c r="E169" s="15" t="n"/>
      <c r="F169" s="94">
        <f>IF(A169="","",Einstellungen!$B$5)</f>
        <v/>
      </c>
      <c r="G169" s="98">
        <f>IF(A169="","",E169*F169)</f>
        <v/>
      </c>
      <c r="H169" s="16">
        <f>IF(A169="","",ISOWEEKNUM(A169))</f>
        <v/>
      </c>
      <c r="I169" s="14">
        <f>IF(A169="","",TEXT(A169,"[$-de-DE]MMMM YYYY"))</f>
        <v/>
      </c>
      <c r="J169" s="14" t="n"/>
      <c r="K169" s="14" t="n"/>
    </row>
    <row r="170" ht="54" customHeight="1" s="54">
      <c r="A170" s="13" t="n"/>
      <c r="B170" s="14" t="n"/>
      <c r="C170" s="14" t="n"/>
      <c r="D170" s="14" t="n"/>
      <c r="E170" s="15" t="n"/>
      <c r="F170" s="94">
        <f>IF(A170="","",Einstellungen!$B$5)</f>
        <v/>
      </c>
      <c r="G170" s="98">
        <f>IF(A170="","",E170*F170)</f>
        <v/>
      </c>
      <c r="H170" s="16">
        <f>IF(A170="","",ISOWEEKNUM(A170))</f>
        <v/>
      </c>
      <c r="I170" s="14">
        <f>IF(A170="","",TEXT(A170,"[$-de-DE]MMMM YYYY"))</f>
        <v/>
      </c>
      <c r="J170" s="14" t="n"/>
      <c r="K170" s="14" t="n"/>
    </row>
    <row r="171" ht="54" customHeight="1" s="54">
      <c r="A171" s="13" t="n"/>
      <c r="B171" s="14" t="n"/>
      <c r="C171" s="14" t="n"/>
      <c r="D171" s="14" t="n"/>
      <c r="E171" s="15" t="n"/>
      <c r="F171" s="94">
        <f>IF(A171="","",Einstellungen!$B$5)</f>
        <v/>
      </c>
      <c r="G171" s="98">
        <f>IF(A171="","",E171*F171)</f>
        <v/>
      </c>
      <c r="H171" s="16">
        <f>IF(A171="","",ISOWEEKNUM(A171))</f>
        <v/>
      </c>
      <c r="I171" s="14">
        <f>IF(A171="","",TEXT(A171,"[$-de-DE]MMMM YYYY"))</f>
        <v/>
      </c>
      <c r="J171" s="14" t="n"/>
      <c r="K171" s="14" t="n"/>
    </row>
    <row r="172" ht="54" customHeight="1" s="54">
      <c r="A172" s="13" t="n"/>
      <c r="B172" s="14" t="n"/>
      <c r="C172" s="14" t="n"/>
      <c r="D172" s="14" t="n"/>
      <c r="E172" s="15" t="n"/>
      <c r="F172" s="94">
        <f>IF(A172="","",Einstellungen!$B$5)</f>
        <v/>
      </c>
      <c r="G172" s="98">
        <f>IF(A172="","",E172*F172)</f>
        <v/>
      </c>
      <c r="H172" s="16">
        <f>IF(A172="","",ISOWEEKNUM(A172))</f>
        <v/>
      </c>
      <c r="I172" s="14">
        <f>IF(A172="","",TEXT(A172,"[$-de-DE]MMMM YYYY"))</f>
        <v/>
      </c>
      <c r="J172" s="14" t="n"/>
      <c r="K172" s="14" t="n"/>
    </row>
    <row r="173" ht="54" customHeight="1" s="54">
      <c r="A173" s="13" t="n"/>
      <c r="B173" s="14" t="n"/>
      <c r="C173" s="14" t="n"/>
      <c r="D173" s="14" t="n"/>
      <c r="E173" s="15" t="n"/>
      <c r="F173" s="94">
        <f>IF(A173="","",Einstellungen!$B$5)</f>
        <v/>
      </c>
      <c r="G173" s="98">
        <f>IF(A173="","",E173*F173)</f>
        <v/>
      </c>
      <c r="H173" s="16">
        <f>IF(A173="","",ISOWEEKNUM(A173))</f>
        <v/>
      </c>
      <c r="I173" s="14">
        <f>IF(A173="","",TEXT(A173,"[$-de-DE]MMMM YYYY"))</f>
        <v/>
      </c>
      <c r="J173" s="14" t="n"/>
      <c r="K173" s="14" t="n"/>
    </row>
    <row r="174" ht="54" customHeight="1" s="54">
      <c r="A174" s="13" t="n"/>
      <c r="B174" s="14" t="n"/>
      <c r="C174" s="14" t="n"/>
      <c r="D174" s="14" t="n"/>
      <c r="E174" s="15" t="n"/>
      <c r="F174" s="94">
        <f>IF(A174="","",Einstellungen!$B$5)</f>
        <v/>
      </c>
      <c r="G174" s="98">
        <f>IF(A174="","",E174*F174)</f>
        <v/>
      </c>
      <c r="H174" s="16">
        <f>IF(A174="","",ISOWEEKNUM(A174))</f>
        <v/>
      </c>
      <c r="I174" s="14">
        <f>IF(A174="","",TEXT(A174,"[$-de-DE]MMMM YYYY"))</f>
        <v/>
      </c>
      <c r="J174" s="14" t="n"/>
      <c r="K174" s="14" t="n"/>
    </row>
    <row r="175" ht="54" customHeight="1" s="54">
      <c r="A175" s="13" t="n"/>
      <c r="B175" s="14" t="n"/>
      <c r="C175" s="14" t="n"/>
      <c r="D175" s="14" t="n"/>
      <c r="E175" s="15" t="n"/>
      <c r="F175" s="94">
        <f>IF(A175="","",Einstellungen!$B$5)</f>
        <v/>
      </c>
      <c r="G175" s="98">
        <f>IF(A175="","",E175*F175)</f>
        <v/>
      </c>
      <c r="H175" s="16">
        <f>IF(A175="","",ISOWEEKNUM(A175))</f>
        <v/>
      </c>
      <c r="I175" s="14">
        <f>IF(A175="","",TEXT(A175,"[$-de-DE]MMMM YYYY"))</f>
        <v/>
      </c>
      <c r="J175" s="14" t="n"/>
      <c r="K175" s="14" t="n"/>
    </row>
    <row r="176" ht="54" customHeight="1" s="54">
      <c r="A176" s="13" t="n"/>
      <c r="B176" s="14" t="n"/>
      <c r="C176" s="14" t="n"/>
      <c r="D176" s="14" t="n"/>
      <c r="E176" s="15" t="n"/>
      <c r="F176" s="94">
        <f>IF(A176="","",Einstellungen!$B$5)</f>
        <v/>
      </c>
      <c r="G176" s="98">
        <f>IF(A176="","",E176*F176)</f>
        <v/>
      </c>
      <c r="H176" s="16">
        <f>IF(A176="","",ISOWEEKNUM(A176))</f>
        <v/>
      </c>
      <c r="I176" s="14">
        <f>IF(A176="","",TEXT(A176,"[$-de-DE]MMMM YYYY"))</f>
        <v/>
      </c>
      <c r="J176" s="14" t="n"/>
      <c r="K176" s="14" t="n"/>
    </row>
    <row r="177" ht="54" customHeight="1" s="54">
      <c r="A177" s="13" t="n"/>
      <c r="B177" s="14" t="n"/>
      <c r="C177" s="14" t="n"/>
      <c r="D177" s="14" t="n"/>
      <c r="E177" s="15" t="n"/>
      <c r="F177" s="94">
        <f>IF(A177="","",Einstellungen!$B$5)</f>
        <v/>
      </c>
      <c r="G177" s="98">
        <f>IF(A177="","",E177*F177)</f>
        <v/>
      </c>
      <c r="H177" s="16">
        <f>IF(A177="","",ISOWEEKNUM(A177))</f>
        <v/>
      </c>
      <c r="I177" s="14">
        <f>IF(A177="","",TEXT(A177,"[$-de-DE]MMMM YYYY"))</f>
        <v/>
      </c>
      <c r="J177" s="14" t="n"/>
      <c r="K177" s="14" t="n"/>
    </row>
    <row r="178" ht="54" customHeight="1" s="54">
      <c r="A178" s="13" t="n"/>
      <c r="B178" s="14" t="n"/>
      <c r="C178" s="14" t="n"/>
      <c r="D178" s="14" t="n"/>
      <c r="E178" s="15" t="n"/>
      <c r="F178" s="94">
        <f>IF(A178="","",Einstellungen!$B$5)</f>
        <v/>
      </c>
      <c r="G178" s="98">
        <f>IF(A178="","",E178*F178)</f>
        <v/>
      </c>
      <c r="H178" s="16">
        <f>IF(A178="","",ISOWEEKNUM(A178))</f>
        <v/>
      </c>
      <c r="I178" s="14">
        <f>IF(A178="","",TEXT(A178,"[$-de-DE]MMMM YYYY"))</f>
        <v/>
      </c>
      <c r="J178" s="14" t="n"/>
      <c r="K178" s="14" t="n"/>
    </row>
    <row r="179" ht="54" customHeight="1" s="54">
      <c r="A179" s="13" t="n"/>
      <c r="B179" s="14" t="n"/>
      <c r="C179" s="14" t="n"/>
      <c r="D179" s="14" t="n"/>
      <c r="E179" s="15" t="n"/>
      <c r="F179" s="94">
        <f>IF(A179="","",Einstellungen!$B$5)</f>
        <v/>
      </c>
      <c r="G179" s="98">
        <f>IF(A179="","",E179*F179)</f>
        <v/>
      </c>
      <c r="H179" s="16">
        <f>IF(A179="","",ISOWEEKNUM(A179))</f>
        <v/>
      </c>
      <c r="I179" s="14">
        <f>IF(A179="","",TEXT(A179,"[$-de-DE]MMMM YYYY"))</f>
        <v/>
      </c>
      <c r="J179" s="14" t="n"/>
      <c r="K179" s="14" t="n"/>
    </row>
    <row r="180" ht="54" customHeight="1" s="54">
      <c r="A180" s="13" t="n"/>
      <c r="B180" s="14" t="n"/>
      <c r="C180" s="14" t="n"/>
      <c r="D180" s="14" t="n"/>
      <c r="E180" s="15" t="n"/>
      <c r="F180" s="94">
        <f>IF(A180="","",Einstellungen!$B$5)</f>
        <v/>
      </c>
      <c r="G180" s="98">
        <f>IF(A180="","",E180*F180)</f>
        <v/>
      </c>
      <c r="H180" s="16">
        <f>IF(A180="","",ISOWEEKNUM(A180))</f>
        <v/>
      </c>
      <c r="I180" s="14">
        <f>IF(A180="","",TEXT(A180,"[$-de-DE]MMMM YYYY"))</f>
        <v/>
      </c>
      <c r="J180" s="14" t="n"/>
      <c r="K180" s="14" t="n"/>
    </row>
    <row r="181" ht="54" customHeight="1" s="54">
      <c r="A181" s="13" t="n"/>
      <c r="B181" s="14" t="n"/>
      <c r="C181" s="14" t="n"/>
      <c r="D181" s="14" t="n"/>
      <c r="E181" s="15" t="n"/>
      <c r="F181" s="94">
        <f>IF(A181="","",Einstellungen!$B$5)</f>
        <v/>
      </c>
      <c r="G181" s="98">
        <f>IF(A181="","",E181*F181)</f>
        <v/>
      </c>
      <c r="H181" s="16">
        <f>IF(A181="","",ISOWEEKNUM(A181))</f>
        <v/>
      </c>
      <c r="I181" s="14">
        <f>IF(A181="","",TEXT(A181,"[$-de-DE]MMMM YYYY"))</f>
        <v/>
      </c>
      <c r="J181" s="14" t="n"/>
      <c r="K181" s="14" t="n"/>
    </row>
    <row r="182" ht="54" customHeight="1" s="54">
      <c r="A182" s="13" t="n"/>
      <c r="B182" s="14" t="n"/>
      <c r="C182" s="14" t="n"/>
      <c r="D182" s="14" t="n"/>
      <c r="E182" s="15" t="n"/>
      <c r="F182" s="94">
        <f>IF(A182="","",Einstellungen!$B$5)</f>
        <v/>
      </c>
      <c r="G182" s="98">
        <f>IF(A182="","",E182*F182)</f>
        <v/>
      </c>
      <c r="H182" s="16">
        <f>IF(A182="","",ISOWEEKNUM(A182))</f>
        <v/>
      </c>
      <c r="I182" s="14">
        <f>IF(A182="","",TEXT(A182,"[$-de-DE]MMMM YYYY"))</f>
        <v/>
      </c>
      <c r="J182" s="14" t="n"/>
      <c r="K182" s="14" t="n"/>
    </row>
    <row r="183" ht="54" customHeight="1" s="54">
      <c r="A183" s="13" t="n"/>
      <c r="B183" s="14" t="n"/>
      <c r="C183" s="14" t="n"/>
      <c r="D183" s="14" t="n"/>
      <c r="E183" s="15" t="n"/>
      <c r="F183" s="94">
        <f>IF(A183="","",Einstellungen!$B$5)</f>
        <v/>
      </c>
      <c r="G183" s="98">
        <f>IF(A183="","",E183*F183)</f>
        <v/>
      </c>
      <c r="H183" s="16">
        <f>IF(A183="","",ISOWEEKNUM(A183))</f>
        <v/>
      </c>
      <c r="I183" s="14">
        <f>IF(A183="","",TEXT(A183,"[$-de-DE]MMMM YYYY"))</f>
        <v/>
      </c>
      <c r="J183" s="14" t="n"/>
      <c r="K183" s="14" t="n"/>
    </row>
    <row r="184" ht="54" customHeight="1" s="54">
      <c r="A184" s="13" t="n"/>
      <c r="B184" s="14" t="n"/>
      <c r="C184" s="14" t="n"/>
      <c r="D184" s="14" t="n"/>
      <c r="E184" s="15" t="n"/>
      <c r="F184" s="94">
        <f>IF(A184="","",Einstellungen!$B$5)</f>
        <v/>
      </c>
      <c r="G184" s="98">
        <f>IF(A184="","",E184*F184)</f>
        <v/>
      </c>
      <c r="H184" s="16">
        <f>IF(A184="","",ISOWEEKNUM(A184))</f>
        <v/>
      </c>
      <c r="I184" s="14">
        <f>IF(A184="","",TEXT(A184,"[$-de-DE]MMMM YYYY"))</f>
        <v/>
      </c>
      <c r="J184" s="14" t="n"/>
      <c r="K184" s="14" t="n"/>
    </row>
    <row r="185" ht="54" customHeight="1" s="54">
      <c r="A185" s="13" t="n"/>
      <c r="B185" s="14" t="n"/>
      <c r="C185" s="14" t="n"/>
      <c r="D185" s="14" t="n"/>
      <c r="E185" s="15" t="n"/>
      <c r="F185" s="94">
        <f>IF(A185="","",Einstellungen!$B$5)</f>
        <v/>
      </c>
      <c r="G185" s="98">
        <f>IF(A185="","",E185*F185)</f>
        <v/>
      </c>
      <c r="H185" s="16">
        <f>IF(A185="","",ISOWEEKNUM(A185))</f>
        <v/>
      </c>
      <c r="I185" s="14">
        <f>IF(A185="","",TEXT(A185,"[$-de-DE]MMMM YYYY"))</f>
        <v/>
      </c>
      <c r="J185" s="14" t="n"/>
      <c r="K185" s="14" t="n"/>
    </row>
    <row r="186" ht="54" customHeight="1" s="54">
      <c r="A186" s="13" t="n"/>
      <c r="B186" s="14" t="n"/>
      <c r="C186" s="14" t="n"/>
      <c r="D186" s="14" t="n"/>
      <c r="E186" s="15" t="n"/>
      <c r="F186" s="94">
        <f>IF(A186="","",Einstellungen!$B$5)</f>
        <v/>
      </c>
      <c r="G186" s="98">
        <f>IF(A186="","",E186*F186)</f>
        <v/>
      </c>
      <c r="H186" s="16">
        <f>IF(A186="","",ISOWEEKNUM(A186))</f>
        <v/>
      </c>
      <c r="I186" s="14">
        <f>IF(A186="","",TEXT(A186,"[$-de-DE]MMMM YYYY"))</f>
        <v/>
      </c>
      <c r="J186" s="14" t="n"/>
      <c r="K186" s="14" t="n"/>
    </row>
    <row r="187" ht="54" customHeight="1" s="54">
      <c r="A187" s="13" t="n"/>
      <c r="B187" s="14" t="n"/>
      <c r="C187" s="14" t="n"/>
      <c r="D187" s="14" t="n"/>
      <c r="E187" s="15" t="n"/>
      <c r="F187" s="94">
        <f>IF(A187="","",Einstellungen!$B$5)</f>
        <v/>
      </c>
      <c r="G187" s="98">
        <f>IF(A187="","",E187*F187)</f>
        <v/>
      </c>
      <c r="H187" s="16">
        <f>IF(A187="","",ISOWEEKNUM(A187))</f>
        <v/>
      </c>
      <c r="I187" s="14">
        <f>IF(A187="","",TEXT(A187,"[$-de-DE]MMMM YYYY"))</f>
        <v/>
      </c>
      <c r="J187" s="14" t="n"/>
      <c r="K187" s="14" t="n"/>
    </row>
    <row r="188" ht="54" customHeight="1" s="54">
      <c r="A188" s="13" t="n"/>
      <c r="B188" s="14" t="n"/>
      <c r="C188" s="14" t="n"/>
      <c r="D188" s="14" t="n"/>
      <c r="E188" s="15" t="n"/>
      <c r="F188" s="94">
        <f>IF(A188="","",Einstellungen!$B$5)</f>
        <v/>
      </c>
      <c r="G188" s="98">
        <f>IF(A188="","",E188*F188)</f>
        <v/>
      </c>
      <c r="H188" s="16">
        <f>IF(A188="","",ISOWEEKNUM(A188))</f>
        <v/>
      </c>
      <c r="I188" s="14">
        <f>IF(A188="","",TEXT(A188,"[$-de-DE]MMMM YYYY"))</f>
        <v/>
      </c>
      <c r="J188" s="14" t="n"/>
      <c r="K188" s="14" t="n"/>
    </row>
    <row r="189" ht="54" customHeight="1" s="54">
      <c r="A189" s="13" t="n"/>
      <c r="B189" s="14" t="n"/>
      <c r="C189" s="14" t="n"/>
      <c r="D189" s="14" t="n"/>
      <c r="E189" s="15" t="n"/>
      <c r="F189" s="94">
        <f>IF(A189="","",Einstellungen!$B$5)</f>
        <v/>
      </c>
      <c r="G189" s="98">
        <f>IF(A189="","",E189*F189)</f>
        <v/>
      </c>
      <c r="H189" s="16">
        <f>IF(A189="","",ISOWEEKNUM(A189))</f>
        <v/>
      </c>
      <c r="I189" s="14">
        <f>IF(A189="","",TEXT(A189,"[$-de-DE]MMMM YYYY"))</f>
        <v/>
      </c>
      <c r="J189" s="14" t="n"/>
      <c r="K189" s="14" t="n"/>
    </row>
    <row r="190" ht="54" customHeight="1" s="54">
      <c r="A190" s="13" t="n"/>
      <c r="B190" s="14" t="n"/>
      <c r="C190" s="14" t="n"/>
      <c r="D190" s="14" t="n"/>
      <c r="E190" s="15" t="n"/>
      <c r="F190" s="94">
        <f>IF(A190="","",Einstellungen!$B$5)</f>
        <v/>
      </c>
      <c r="G190" s="98">
        <f>IF(A190="","",E190*F190)</f>
        <v/>
      </c>
      <c r="H190" s="16">
        <f>IF(A190="","",ISOWEEKNUM(A190))</f>
        <v/>
      </c>
      <c r="I190" s="14">
        <f>IF(A190="","",TEXT(A190,"[$-de-DE]MMMM YYYY"))</f>
        <v/>
      </c>
      <c r="J190" s="14" t="n"/>
      <c r="K190" s="14" t="n"/>
    </row>
    <row r="191" ht="54" customHeight="1" s="54">
      <c r="A191" s="13" t="n"/>
      <c r="B191" s="14" t="n"/>
      <c r="C191" s="14" t="n"/>
      <c r="D191" s="14" t="n"/>
      <c r="E191" s="15" t="n"/>
      <c r="F191" s="94">
        <f>IF(A191="","",Einstellungen!$B$5)</f>
        <v/>
      </c>
      <c r="G191" s="98">
        <f>IF(A191="","",E191*F191)</f>
        <v/>
      </c>
      <c r="H191" s="16">
        <f>IF(A191="","",ISOWEEKNUM(A191))</f>
        <v/>
      </c>
      <c r="I191" s="14">
        <f>IF(A191="","",TEXT(A191,"[$-de-DE]MMMM YYYY"))</f>
        <v/>
      </c>
      <c r="J191" s="14" t="n"/>
      <c r="K191" s="14" t="n"/>
    </row>
    <row r="192" ht="54" customHeight="1" s="54">
      <c r="A192" s="13" t="n"/>
      <c r="B192" s="14" t="n"/>
      <c r="C192" s="14" t="n"/>
      <c r="D192" s="14" t="n"/>
      <c r="E192" s="15" t="n"/>
      <c r="F192" s="94">
        <f>IF(A192="","",Einstellungen!$B$5)</f>
        <v/>
      </c>
      <c r="G192" s="98">
        <f>IF(A192="","",E192*F192)</f>
        <v/>
      </c>
      <c r="H192" s="16">
        <f>IF(A192="","",ISOWEEKNUM(A192))</f>
        <v/>
      </c>
      <c r="I192" s="14">
        <f>IF(A192="","",TEXT(A192,"[$-de-DE]MMMM YYYY"))</f>
        <v/>
      </c>
      <c r="J192" s="14" t="n"/>
      <c r="K192" s="14" t="n"/>
    </row>
    <row r="193" ht="54" customHeight="1" s="54">
      <c r="A193" s="13" t="n"/>
      <c r="B193" s="14" t="n"/>
      <c r="C193" s="14" t="n"/>
      <c r="D193" s="14" t="n"/>
      <c r="E193" s="15" t="n"/>
      <c r="F193" s="94">
        <f>IF(A193="","",Einstellungen!$B$5)</f>
        <v/>
      </c>
      <c r="G193" s="98">
        <f>IF(A193="","",E193*F193)</f>
        <v/>
      </c>
      <c r="H193" s="16">
        <f>IF(A193="","",ISOWEEKNUM(A193))</f>
        <v/>
      </c>
      <c r="I193" s="14">
        <f>IF(A193="","",TEXT(A193,"[$-de-DE]MMMM YYYY"))</f>
        <v/>
      </c>
      <c r="J193" s="14" t="n"/>
      <c r="K193" s="14" t="n"/>
    </row>
    <row r="194" ht="54" customHeight="1" s="54">
      <c r="A194" s="13" t="n"/>
      <c r="B194" s="14" t="n"/>
      <c r="C194" s="14" t="n"/>
      <c r="D194" s="14" t="n"/>
      <c r="E194" s="15" t="n"/>
      <c r="F194" s="94">
        <f>IF(A194="","",Einstellungen!$B$5)</f>
        <v/>
      </c>
      <c r="G194" s="98">
        <f>IF(A194="","",E194*F194)</f>
        <v/>
      </c>
      <c r="H194" s="16">
        <f>IF(A194="","",ISOWEEKNUM(A194))</f>
        <v/>
      </c>
      <c r="I194" s="14">
        <f>IF(A194="","",TEXT(A194,"[$-de-DE]MMMM YYYY"))</f>
        <v/>
      </c>
      <c r="J194" s="14" t="n"/>
      <c r="K194" s="14" t="n"/>
    </row>
    <row r="195" ht="54" customHeight="1" s="54">
      <c r="A195" s="13" t="n"/>
      <c r="B195" s="14" t="n"/>
      <c r="C195" s="14" t="n"/>
      <c r="D195" s="14" t="n"/>
      <c r="E195" s="15" t="n"/>
      <c r="F195" s="94">
        <f>IF(A195="","",Einstellungen!$B$5)</f>
        <v/>
      </c>
      <c r="G195" s="98">
        <f>IF(A195="","",E195*F195)</f>
        <v/>
      </c>
      <c r="H195" s="16">
        <f>IF(A195="","",ISOWEEKNUM(A195))</f>
        <v/>
      </c>
      <c r="I195" s="14">
        <f>IF(A195="","",TEXT(A195,"[$-de-DE]MMMM YYYY"))</f>
        <v/>
      </c>
      <c r="J195" s="14" t="n"/>
      <c r="K195" s="14" t="n"/>
    </row>
    <row r="196" ht="54" customHeight="1" s="54">
      <c r="A196" s="13" t="n"/>
      <c r="B196" s="14" t="n"/>
      <c r="C196" s="14" t="n"/>
      <c r="D196" s="14" t="n"/>
      <c r="E196" s="15" t="n"/>
      <c r="F196" s="94">
        <f>IF(A196="","",Einstellungen!$B$5)</f>
        <v/>
      </c>
      <c r="G196" s="98">
        <f>IF(A196="","",E196*F196)</f>
        <v/>
      </c>
      <c r="H196" s="16">
        <f>IF(A196="","",ISOWEEKNUM(A196))</f>
        <v/>
      </c>
      <c r="I196" s="14">
        <f>IF(A196="","",TEXT(A196,"[$-de-DE]MMMM YYYY"))</f>
        <v/>
      </c>
      <c r="J196" s="14" t="n"/>
      <c r="K196" s="14" t="n"/>
    </row>
    <row r="197" ht="54" customHeight="1" s="54">
      <c r="A197" s="13" t="n"/>
      <c r="B197" s="14" t="n"/>
      <c r="C197" s="14" t="n"/>
      <c r="D197" s="14" t="n"/>
      <c r="E197" s="15" t="n"/>
      <c r="F197" s="94">
        <f>IF(A197="","",Einstellungen!$B$5)</f>
        <v/>
      </c>
      <c r="G197" s="98">
        <f>IF(A197="","",E197*F197)</f>
        <v/>
      </c>
      <c r="H197" s="16">
        <f>IF(A197="","",ISOWEEKNUM(A197))</f>
        <v/>
      </c>
      <c r="I197" s="14">
        <f>IF(A197="","",TEXT(A197,"[$-de-DE]MMMM YYYY"))</f>
        <v/>
      </c>
      <c r="J197" s="14" t="n"/>
      <c r="K197" s="14" t="n"/>
    </row>
    <row r="198" ht="54" customHeight="1" s="54">
      <c r="A198" s="13" t="n"/>
      <c r="B198" s="14" t="n"/>
      <c r="C198" s="14" t="n"/>
      <c r="D198" s="14" t="n"/>
      <c r="E198" s="15" t="n"/>
      <c r="F198" s="94">
        <f>IF(A198="","",Einstellungen!$B$5)</f>
        <v/>
      </c>
      <c r="G198" s="98">
        <f>IF(A198="","",E198*F198)</f>
        <v/>
      </c>
      <c r="H198" s="16">
        <f>IF(A198="","",ISOWEEKNUM(A198))</f>
        <v/>
      </c>
      <c r="I198" s="14">
        <f>IF(A198="","",TEXT(A198,"[$-de-DE]MMMM YYYY"))</f>
        <v/>
      </c>
      <c r="J198" s="14" t="n"/>
      <c r="K198" s="14" t="n"/>
    </row>
    <row r="199" ht="54" customHeight="1" s="54">
      <c r="A199" s="13" t="n"/>
      <c r="B199" s="14" t="n"/>
      <c r="C199" s="14" t="n"/>
      <c r="D199" s="14" t="n"/>
      <c r="E199" s="15" t="n"/>
      <c r="F199" s="94">
        <f>IF(A199="","",Einstellungen!$B$5)</f>
        <v/>
      </c>
      <c r="G199" s="98">
        <f>IF(A199="","",E199*F199)</f>
        <v/>
      </c>
      <c r="H199" s="16">
        <f>IF(A199="","",ISOWEEKNUM(A199))</f>
        <v/>
      </c>
      <c r="I199" s="14">
        <f>IF(A199="","",TEXT(A199,"[$-de-DE]MMMM YYYY"))</f>
        <v/>
      </c>
      <c r="J199" s="14" t="n"/>
      <c r="K199" s="14" t="n"/>
    </row>
    <row r="200" ht="54" customHeight="1" s="54">
      <c r="A200" s="13" t="n"/>
      <c r="B200" s="14" t="n"/>
      <c r="C200" s="14" t="n"/>
      <c r="D200" s="14" t="n"/>
      <c r="E200" s="15" t="n"/>
      <c r="F200" s="94">
        <f>IF(A200="","",Einstellungen!$B$5)</f>
        <v/>
      </c>
      <c r="G200" s="98">
        <f>IF(A200="","",E200*F200)</f>
        <v/>
      </c>
      <c r="H200" s="16">
        <f>IF(A200="","",ISOWEEKNUM(A200))</f>
        <v/>
      </c>
      <c r="I200" s="14">
        <f>IF(A200="","",TEXT(A200,"[$-de-DE]MMMM YYYY"))</f>
        <v/>
      </c>
      <c r="J200" s="14" t="n"/>
      <c r="K200" s="14" t="n"/>
    </row>
    <row r="201" ht="54" customHeight="1" s="54">
      <c r="A201" s="13" t="n"/>
      <c r="B201" s="14" t="n"/>
      <c r="C201" s="14" t="n"/>
      <c r="D201" s="14" t="n"/>
      <c r="E201" s="15" t="n"/>
      <c r="F201" s="94">
        <f>IF(A201="","",Einstellungen!$B$5)</f>
        <v/>
      </c>
      <c r="G201" s="98">
        <f>IF(A201="","",E201*F201)</f>
        <v/>
      </c>
      <c r="H201" s="16">
        <f>IF(A201="","",ISOWEEKNUM(A201))</f>
        <v/>
      </c>
      <c r="I201" s="14">
        <f>IF(A201="","",TEXT(A201,"[$-de-DE]MMMM YYYY"))</f>
        <v/>
      </c>
      <c r="J201" s="14" t="n"/>
      <c r="K201" s="14" t="n"/>
    </row>
    <row r="202" ht="54" customHeight="1" s="54">
      <c r="A202" s="13" t="n"/>
      <c r="B202" s="14" t="n"/>
      <c r="C202" s="14" t="n"/>
      <c r="D202" s="14" t="n"/>
      <c r="E202" s="15" t="n"/>
      <c r="F202" s="94">
        <f>IF(A202="","",Einstellungen!$B$5)</f>
        <v/>
      </c>
      <c r="G202" s="98">
        <f>IF(A202="","",E202*F202)</f>
        <v/>
      </c>
      <c r="H202" s="16">
        <f>IF(A202="","",ISOWEEKNUM(A202))</f>
        <v/>
      </c>
      <c r="I202" s="14">
        <f>IF(A202="","",TEXT(A202,"[$-de-DE]MMMM YYYY"))</f>
        <v/>
      </c>
      <c r="J202" s="14" t="n"/>
      <c r="K202" s="14" t="n"/>
    </row>
    <row r="203" ht="54" customHeight="1" s="54">
      <c r="A203" s="13" t="n"/>
      <c r="B203" s="14" t="n"/>
      <c r="C203" s="14" t="n"/>
      <c r="D203" s="14" t="n"/>
      <c r="E203" s="15" t="n"/>
      <c r="F203" s="94">
        <f>IF(A203="","",Einstellungen!$B$5)</f>
        <v/>
      </c>
      <c r="G203" s="98">
        <f>IF(A203="","",E203*F203)</f>
        <v/>
      </c>
      <c r="H203" s="16">
        <f>IF(A203="","",ISOWEEKNUM(A203))</f>
        <v/>
      </c>
      <c r="I203" s="14">
        <f>IF(A203="","",TEXT(A203,"[$-de-DE]MMMM YYYY"))</f>
        <v/>
      </c>
      <c r="J203" s="14" t="n"/>
      <c r="K203" s="14" t="n"/>
    </row>
    <row r="204" ht="54" customHeight="1" s="54">
      <c r="A204" s="13" t="n"/>
      <c r="B204" s="14" t="n"/>
      <c r="C204" s="14" t="n"/>
      <c r="D204" s="14" t="n"/>
      <c r="E204" s="15" t="n"/>
      <c r="F204" s="94">
        <f>IF(A204="","",Einstellungen!$B$5)</f>
        <v/>
      </c>
      <c r="G204" s="98">
        <f>IF(A204="","",E204*F204)</f>
        <v/>
      </c>
      <c r="H204" s="16">
        <f>IF(A204="","",ISOWEEKNUM(A204))</f>
        <v/>
      </c>
      <c r="I204" s="14">
        <f>IF(A204="","",TEXT(A204,"[$-de-DE]MMMM YYYY"))</f>
        <v/>
      </c>
      <c r="J204" s="14" t="n"/>
      <c r="K204" s="14" t="n"/>
    </row>
    <row r="205" ht="54" customHeight="1" s="54">
      <c r="A205" s="13" t="n"/>
      <c r="B205" s="14" t="n"/>
      <c r="C205" s="14" t="n"/>
      <c r="D205" s="14" t="n"/>
      <c r="E205" s="15" t="n"/>
      <c r="F205" s="94">
        <f>IF(A205="","",Einstellungen!$B$5)</f>
        <v/>
      </c>
      <c r="G205" s="98">
        <f>IF(A205="","",E205*F205)</f>
        <v/>
      </c>
      <c r="H205" s="16">
        <f>IF(A205="","",ISOWEEKNUM(A205))</f>
        <v/>
      </c>
      <c r="I205" s="14">
        <f>IF(A205="","",TEXT(A205,"[$-de-DE]MMMM YYYY"))</f>
        <v/>
      </c>
      <c r="J205" s="14" t="n"/>
      <c r="K205" s="14" t="n"/>
    </row>
    <row r="206" ht="54" customHeight="1" s="54">
      <c r="A206" s="13" t="n"/>
      <c r="B206" s="14" t="n"/>
      <c r="C206" s="14" t="n"/>
      <c r="D206" s="14" t="n"/>
      <c r="E206" s="15" t="n"/>
      <c r="F206" s="94">
        <f>IF(A206="","",Einstellungen!$B$5)</f>
        <v/>
      </c>
      <c r="G206" s="98">
        <f>IF(A206="","",E206*F206)</f>
        <v/>
      </c>
      <c r="H206" s="16">
        <f>IF(A206="","",ISOWEEKNUM(A206))</f>
        <v/>
      </c>
      <c r="I206" s="14">
        <f>IF(A206="","",TEXT(A206,"[$-de-DE]MMMM YYYY"))</f>
        <v/>
      </c>
      <c r="J206" s="14" t="n"/>
      <c r="K206" s="14" t="n"/>
    </row>
    <row r="207" ht="54" customHeight="1" s="54">
      <c r="A207" s="13" t="n"/>
      <c r="B207" s="14" t="n"/>
      <c r="C207" s="14" t="n"/>
      <c r="D207" s="14" t="n"/>
      <c r="E207" s="15" t="n"/>
      <c r="F207" s="94">
        <f>IF(A207="","",Einstellungen!$B$5)</f>
        <v/>
      </c>
      <c r="G207" s="98">
        <f>IF(A207="","",E207*F207)</f>
        <v/>
      </c>
      <c r="H207" s="16">
        <f>IF(A207="","",ISOWEEKNUM(A207))</f>
        <v/>
      </c>
      <c r="I207" s="14">
        <f>IF(A207="","",TEXT(A207,"[$-de-DE]MMMM YYYY"))</f>
        <v/>
      </c>
      <c r="J207" s="14" t="n"/>
      <c r="K207" s="14" t="n"/>
    </row>
    <row r="208" ht="54" customHeight="1" s="54">
      <c r="A208" s="13" t="n"/>
      <c r="B208" s="14" t="n"/>
      <c r="C208" s="14" t="n"/>
      <c r="D208" s="14" t="n"/>
      <c r="E208" s="15" t="n"/>
      <c r="F208" s="94">
        <f>IF(A208="","",Einstellungen!$B$5)</f>
        <v/>
      </c>
      <c r="G208" s="98">
        <f>IF(A208="","",E208*F208)</f>
        <v/>
      </c>
      <c r="H208" s="16">
        <f>IF(A208="","",ISOWEEKNUM(A208))</f>
        <v/>
      </c>
      <c r="I208" s="14">
        <f>IF(A208="","",TEXT(A208,"[$-de-DE]MMMM YYYY"))</f>
        <v/>
      </c>
      <c r="J208" s="14" t="n"/>
      <c r="K208" s="14" t="n"/>
    </row>
    <row r="209" ht="54" customHeight="1" s="54">
      <c r="A209" s="13" t="n"/>
      <c r="B209" s="14" t="n"/>
      <c r="C209" s="14" t="n"/>
      <c r="D209" s="14" t="n"/>
      <c r="E209" s="15" t="n"/>
      <c r="F209" s="94">
        <f>IF(A209="","",Einstellungen!$B$5)</f>
        <v/>
      </c>
      <c r="G209" s="98">
        <f>IF(A209="","",E209*F209)</f>
        <v/>
      </c>
      <c r="H209" s="16">
        <f>IF(A209="","",ISOWEEKNUM(A209))</f>
        <v/>
      </c>
      <c r="I209" s="14">
        <f>IF(A209="","",TEXT(A209,"[$-de-DE]MMMM YYYY"))</f>
        <v/>
      </c>
      <c r="J209" s="14" t="n"/>
      <c r="K209" s="14" t="n"/>
    </row>
    <row r="210" ht="54" customHeight="1" s="54">
      <c r="A210" s="13" t="n"/>
      <c r="B210" s="14" t="n"/>
      <c r="C210" s="14" t="n"/>
      <c r="D210" s="14" t="n"/>
      <c r="E210" s="15" t="n"/>
      <c r="F210" s="94">
        <f>IF(A210="","",Einstellungen!$B$5)</f>
        <v/>
      </c>
      <c r="G210" s="98">
        <f>IF(A210="","",E210*F210)</f>
        <v/>
      </c>
      <c r="H210" s="16">
        <f>IF(A210="","",ISOWEEKNUM(A210))</f>
        <v/>
      </c>
      <c r="I210" s="14">
        <f>IF(A210="","",TEXT(A210,"[$-de-DE]MMMM YYYY"))</f>
        <v/>
      </c>
      <c r="J210" s="14" t="n"/>
      <c r="K210" s="14" t="n"/>
    </row>
    <row r="211" ht="54" customHeight="1" s="54">
      <c r="A211" s="13" t="n"/>
      <c r="B211" s="14" t="n"/>
      <c r="C211" s="14" t="n"/>
      <c r="D211" s="14" t="n"/>
      <c r="E211" s="15" t="n"/>
      <c r="F211" s="94">
        <f>IF(A211="","",Einstellungen!$B$5)</f>
        <v/>
      </c>
      <c r="G211" s="98">
        <f>IF(A211="","",E211*F211)</f>
        <v/>
      </c>
      <c r="H211" s="16">
        <f>IF(A211="","",ISOWEEKNUM(A211))</f>
        <v/>
      </c>
      <c r="I211" s="14">
        <f>IF(A211="","",TEXT(A211,"[$-de-DE]MMMM YYYY"))</f>
        <v/>
      </c>
      <c r="J211" s="14" t="n"/>
      <c r="K211" s="14" t="n"/>
    </row>
  </sheetData>
  <mergeCells count="2">
    <mergeCell ref="A1:K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tabSelected="0" workbookViewId="0">
      <selection activeCell="A1" sqref="A1"/>
    </sheetView>
  </sheetViews>
  <sheetFormatPr baseColWidth="10" defaultColWidth="8.83203125" defaultRowHeight="14"/>
  <cols>
    <col width="24" customWidth="1" style="54" min="1" max="1"/>
    <col width="18" customWidth="1" style="54" min="2" max="3"/>
    <col width="42" customWidth="1" style="54" min="4" max="4"/>
    <col width="16" customWidth="1" style="54" min="5" max="5"/>
    <col width="14" customWidth="1" style="54" min="6" max="8"/>
  </cols>
  <sheetData>
    <row r="1" ht="28.5" customHeight="1" s="54">
      <c r="A1" s="89" t="inlineStr">
        <is>
          <t>Auswertung</t>
        </is>
      </c>
    </row>
    <row r="2" ht="25.5" customHeight="1" s="54">
      <c r="A2" s="90" t="inlineStr">
        <is>
          <t>Kurzer Plausibilitätscheck und Monatsübersicht aus der Zeiterfassung.</t>
        </is>
      </c>
    </row>
    <row r="3" ht="15" customHeight="1" s="54">
      <c r="A3" s="1" t="n"/>
      <c r="B3" s="1" t="n"/>
      <c r="C3" s="1" t="n"/>
      <c r="D3" s="1" t="n"/>
      <c r="E3" s="1" t="n"/>
      <c r="F3" s="1" t="n"/>
      <c r="G3" s="1" t="n"/>
      <c r="H3" s="1" t="n"/>
    </row>
    <row r="4" ht="15" customHeight="1" s="54">
      <c r="A4" s="17" t="inlineStr">
        <is>
          <t>Monat</t>
        </is>
      </c>
      <c r="B4" s="18">
        <f>Einstellungen!F5</f>
        <v/>
      </c>
      <c r="C4" s="1" t="n"/>
      <c r="D4" s="19" t="inlineStr">
        <is>
          <t>Kategorie</t>
        </is>
      </c>
      <c r="E4" s="19" t="inlineStr">
        <is>
          <t>Stunden</t>
        </is>
      </c>
      <c r="F4" s="19" t="inlineStr">
        <is>
          <t>Anteil</t>
        </is>
      </c>
      <c r="G4" s="1" t="n"/>
      <c r="H4" s="1" t="n"/>
    </row>
    <row r="5" ht="15" customHeight="1" s="54">
      <c r="A5" s="17" t="inlineStr">
        <is>
          <t>Gesamtstunden</t>
        </is>
      </c>
      <c r="B5" s="20">
        <f>Datenbasis!D5</f>
        <v/>
      </c>
      <c r="C5" s="1" t="n"/>
      <c r="D5" s="56" t="inlineStr">
        <is>
          <t>Analyse / Recherche</t>
        </is>
      </c>
      <c r="E5" s="22">
        <f>SUMIFS(Datenbasis!$E$13:$E$211,Datenbasis!$J$13:$J$211,D5,Datenbasis!$A$13:$A$211,"&gt;="&amp;Einstellungen!$B$4,Datenbasis!$A$13:$A$211,"&lt;"&amp;DATE(YEAR(Einstellungen!$B$4),MONTH(Einstellungen!$B$4)+1,1))</f>
        <v/>
      </c>
      <c r="F5" s="23">
        <f>IF($B$5=0,0,E5/$B$5)</f>
        <v/>
      </c>
      <c r="G5" s="1" t="n"/>
      <c r="H5" s="1" t="n"/>
    </row>
    <row r="6" ht="15" customHeight="1" s="54">
      <c r="A6" s="17" t="inlineStr">
        <is>
          <t>Betrag</t>
        </is>
      </c>
      <c r="B6" s="24">
        <f>Datenbasis!E5</f>
        <v/>
      </c>
      <c r="C6" s="1" t="n"/>
      <c r="D6" s="56" t="inlineStr">
        <is>
          <t>Technische Konzeption</t>
        </is>
      </c>
      <c r="E6" s="22">
        <f>SUMIFS(Datenbasis!$E$13:$E$211,Datenbasis!$J$13:$J$211,D6,Datenbasis!$A$13:$A$211,"&gt;="&amp;Einstellungen!$B$4,Datenbasis!$A$13:$A$211,"&lt;"&amp;DATE(YEAR(Einstellungen!$B$4),MONTH(Einstellungen!$B$4)+1,1))</f>
        <v/>
      </c>
      <c r="F6" s="23">
        <f>IF($B$5=0,0,E6/$B$5)</f>
        <v/>
      </c>
      <c r="G6" s="1" t="n"/>
      <c r="H6" s="1" t="n"/>
    </row>
    <row r="7" ht="15" customHeight="1" s="54">
      <c r="A7" s="1" t="n"/>
      <c r="B7" s="1" t="n"/>
      <c r="C7" s="1" t="n"/>
      <c r="D7" s="56" t="inlineStr">
        <is>
          <t>Projektplanung</t>
        </is>
      </c>
      <c r="E7" s="22">
        <f>SUMIFS(Datenbasis!$E$13:$E$211,Datenbasis!$J$13:$J$211,D7,Datenbasis!$A$13:$A$211,"&gt;="&amp;Einstellungen!$B$4,Datenbasis!$A$13:$A$211,"&lt;"&amp;DATE(YEAR(Einstellungen!$B$4),MONTH(Einstellungen!$B$4)+1,1))</f>
        <v/>
      </c>
      <c r="F7" s="23">
        <f>IF($B$5=0,0,E7/$B$5)</f>
        <v/>
      </c>
      <c r="G7" s="1" t="n"/>
      <c r="H7" s="1" t="n"/>
    </row>
    <row r="8" ht="15" customHeight="1" s="54">
      <c r="A8" s="1" t="n"/>
      <c r="B8" s="1" t="n"/>
      <c r="C8" s="1" t="n"/>
      <c r="D8" s="56" t="inlineStr">
        <is>
          <t>Setup / Administration</t>
        </is>
      </c>
      <c r="E8" s="22">
        <f>SUMIFS(Datenbasis!$E$13:$E$211,Datenbasis!$J$13:$J$211,D8,Datenbasis!$A$13:$A$211,"&gt;="&amp;Einstellungen!$B$4,Datenbasis!$A$13:$A$211,"&lt;"&amp;DATE(YEAR(Einstellungen!$B$4),MONTH(Einstellungen!$B$4)+1,1))</f>
        <v/>
      </c>
      <c r="F8" s="23">
        <f>IF($B$5=0,0,E8/$B$5)</f>
        <v/>
      </c>
      <c r="G8" s="1" t="n"/>
      <c r="H8" s="1" t="n"/>
    </row>
    <row r="9" ht="15" customHeight="1" s="54">
      <c r="A9" s="1" t="n"/>
      <c r="B9" s="1" t="n"/>
      <c r="C9" s="1" t="n"/>
      <c r="D9" s="56" t="inlineStr">
        <is>
          <t>Umsetzung / Dokumentation</t>
        </is>
      </c>
      <c r="E9" s="22">
        <f>SUMIFS(Datenbasis!$E$13:$E$211,Datenbasis!$J$13:$J$211,D9,Datenbasis!$A$13:$A$211,"&gt;="&amp;Einstellungen!$B$4,Datenbasis!$A$13:$A$211,"&lt;"&amp;DATE(YEAR(Einstellungen!$B$4),MONTH(Einstellungen!$B$4)+1,1))</f>
        <v/>
      </c>
      <c r="F9" s="23">
        <f>IF($B$5=0,0,E9/$B$5)</f>
        <v/>
      </c>
      <c r="G9" s="1" t="n"/>
      <c r="H9" s="1" t="n"/>
    </row>
    <row r="10" ht="15" customHeight="1" s="54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96" t="inlineStr">
        <is>
          <t>Schonungslos ehrlicher Check</t>
        </is>
      </c>
    </row>
    <row r="12" ht="36" customHeight="1" s="54">
      <c r="A12" s="25" t="inlineStr">
        <is>
          <t>Gesamteindruck</t>
        </is>
      </c>
      <c r="B12" s="56" t="inlineStr">
        <is>
          <t>10,30 Stunden für Startwoche/Analysephase sind plausibel. Der QR-Code-Anteil ist durch ein konkretes Ergebnis belegt: CMC_QR_Tool_Gegenueberstellung.xlsx plus technische Stack-Klarheit.</t>
        </is>
      </c>
      <c r="C12" s="57" t="n"/>
      <c r="D12" s="57" t="n"/>
      <c r="E12" s="57" t="n"/>
      <c r="F12" s="57" t="n"/>
      <c r="G12" s="57" t="n"/>
      <c r="H12" s="58" t="n"/>
    </row>
    <row r="13" ht="36" customHeight="1" s="54">
      <c r="A13" s="25" t="inlineStr">
        <is>
          <t>QR-Code-Anteil</t>
        </is>
      </c>
      <c r="B13" s="56" t="inlineStr">
        <is>
          <t>7,90 Stunden QR-Code sind mit diesem Output gut begründbar: Entscheidungsmatrix, Eigenbau-vs.-Markttool-Abgleich, Volumenannahmen, Risiken, Kurzfazit, Ergänzungen und nächste Schritte sind verwertbarer Mehrwert.</t>
        </is>
      </c>
      <c r="C13" s="57" t="n"/>
      <c r="D13" s="57" t="n"/>
      <c r="E13" s="57" t="n"/>
      <c r="F13" s="57" t="n"/>
      <c r="G13" s="57" t="n"/>
      <c r="H13" s="58" t="n"/>
    </row>
    <row r="14" ht="36" customHeight="1" s="54">
      <c r="A14" s="25" t="inlineStr">
        <is>
          <t>Asana/Monday</t>
        </is>
      </c>
      <c r="B14" s="56" t="inlineStr">
        <is>
          <t>1,65 Stunden sind für eine echte Migration zu wenig, aber als erster Projektplan plus Sichtung plausibel. Bitte nicht als vollständige Migrationsanalyse verkaufen.</t>
        </is>
      </c>
      <c r="C14" s="57" t="n"/>
      <c r="D14" s="57" t="n"/>
      <c r="E14" s="57" t="n"/>
      <c r="F14" s="57" t="n"/>
      <c r="G14" s="57" t="n"/>
      <c r="H14" s="58" t="n"/>
    </row>
    <row r="15" ht="36" customHeight="1" s="54">
      <c r="A15" s="25" t="inlineStr">
        <is>
          <t>Setup-Zeit</t>
        </is>
      </c>
      <c r="B15" s="56" t="inlineStr">
        <is>
          <t>0,75 Stunden für Accounts/Mail ist normal und unkritisch, sollte aber nicht größer werden, wenn kein technisches Problem dahintersteht.</t>
        </is>
      </c>
      <c r="C15" s="57" t="n"/>
      <c r="D15" s="57" t="n"/>
      <c r="E15" s="57" t="n"/>
      <c r="F15" s="57" t="n"/>
      <c r="G15" s="57" t="n"/>
      <c r="H15" s="58" t="n"/>
    </row>
    <row r="16" ht="36" customHeight="1" s="54">
      <c r="A16" s="25" t="inlineStr">
        <is>
          <t>Empfehlung</t>
        </is>
      </c>
      <c r="B16" s="56" t="inlineStr">
        <is>
          <t>Für künftige Einträge immer ein Ergebnis ergänzen: Entscheidung, verworfene Option, Nächstes To-do, Risiko oder Vereinfachung. Dann liest Robert Mehrwert statt nur Arbeitszeit.</t>
        </is>
      </c>
      <c r="C16" s="57" t="n"/>
      <c r="D16" s="57" t="n"/>
      <c r="E16" s="57" t="n"/>
      <c r="F16" s="57" t="n"/>
      <c r="G16" s="57" t="n"/>
      <c r="H16" s="58" t="n"/>
    </row>
    <row r="17" ht="15" customHeight="1" s="54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5" customHeight="1" s="54">
      <c r="A18" s="1" t="n"/>
      <c r="B18" s="1" t="n"/>
      <c r="C18" s="1" t="n"/>
      <c r="D18" s="1" t="n"/>
      <c r="E18" s="1" t="n"/>
      <c r="F18" s="1" t="n"/>
      <c r="G18" s="1" t="n"/>
      <c r="H18" s="1" t="n"/>
    </row>
    <row r="19" ht="15" customHeight="1" s="54">
      <c r="A19" s="19" t="inlineStr">
        <is>
          <t>KW</t>
        </is>
      </c>
      <c r="B19" s="19" t="inlineStr">
        <is>
          <t>Stunden</t>
        </is>
      </c>
      <c r="C19" s="19" t="inlineStr">
        <is>
          <t>Betrag</t>
        </is>
      </c>
      <c r="D19" s="19" t="inlineStr">
        <is>
          <t>Hinweis</t>
        </is>
      </c>
      <c r="E19" s="1" t="n"/>
      <c r="F19" s="1" t="n"/>
      <c r="G19" s="1" t="n"/>
      <c r="H19" s="1" t="n"/>
    </row>
    <row r="20" ht="15" customHeight="1" s="54">
      <c r="A20" s="56" t="n">
        <v>25</v>
      </c>
      <c r="B20" s="22">
        <f>SUMIFS(Datenbasis!$E$13:$E$211,Datenbasis!$H$13:$H$211,A20,Datenbasis!$A$13:$A$211,"&gt;="&amp;Einstellungen!$B$4,Datenbasis!$A$13:$A$211,"&lt;"&amp;DATE(YEAR(Einstellungen!$B$4),MONTH(Einstellungen!$B$4)+1,1))</f>
        <v/>
      </c>
      <c r="C20" s="26">
        <f>SUMIFS(Datenbasis!$G$13:$G$211,Datenbasis!$H$13:$H$211,A20,Datenbasis!$A$13:$A$211,"&gt;="&amp;Einstellungen!$B$4,Datenbasis!$A$13:$A$211,"&lt;"&amp;DATE(YEAR(Einstellungen!$B$4),MONTH(Einstellungen!$B$4)+1,1))</f>
        <v/>
      </c>
      <c r="D20" s="56">
        <f>IF(B20=0,"",IF(B20&lt;2,"kleiner Block / Kontextaufbau",IF(B20&gt;8,"hoher Wochenblock - Output sichtbar machen","plausibler Wochenblock")))</f>
        <v/>
      </c>
      <c r="E20" s="1" t="n"/>
      <c r="F20" s="1" t="n"/>
      <c r="G20" s="1" t="n"/>
      <c r="H20" s="1" t="n"/>
    </row>
    <row r="21" ht="15" customHeight="1" s="54">
      <c r="A21" s="56" t="n">
        <v>26</v>
      </c>
      <c r="B21" s="22">
        <f>SUMIFS(Datenbasis!$E$13:$E$211,Datenbasis!$H$13:$H$211,A21,Datenbasis!$A$13:$A$211,"&gt;="&amp;Einstellungen!$B$4,Datenbasis!$A$13:$A$211,"&lt;"&amp;DATE(YEAR(Einstellungen!$B$4),MONTH(Einstellungen!$B$4)+1,1))</f>
        <v/>
      </c>
      <c r="C21" s="26">
        <f>SUMIFS(Datenbasis!$G$13:$G$211,Datenbasis!$H$13:$H$211,A21,Datenbasis!$A$13:$A$211,"&gt;="&amp;Einstellungen!$B$4,Datenbasis!$A$13:$A$211,"&lt;"&amp;DATE(YEAR(Einstellungen!$B$4),MONTH(Einstellungen!$B$4)+1,1))</f>
        <v/>
      </c>
      <c r="D21" s="56">
        <f>IF(B21=0,"",IF(B21&lt;2,"kleiner Block / Kontextaufbau",IF(B21&gt;8,"hoher Wochenblock - Output sichtbar machen","plausibler Wochenblock")))</f>
        <v/>
      </c>
      <c r="E21" s="1" t="n"/>
      <c r="F21" s="1" t="n"/>
      <c r="G21" s="1" t="n"/>
      <c r="H21" s="1" t="n"/>
    </row>
    <row r="22" ht="15" customHeight="1" s="54">
      <c r="A22" s="56" t="n">
        <v>27</v>
      </c>
      <c r="B22" s="22">
        <f>SUMIFS(Datenbasis!$E$13:$E$211,Datenbasis!$H$13:$H$211,A22,Datenbasis!$A$13:$A$211,"&gt;="&amp;Einstellungen!$B$4,Datenbasis!$A$13:$A$211,"&lt;"&amp;DATE(YEAR(Einstellungen!$B$4),MONTH(Einstellungen!$B$4)+1,1))</f>
        <v/>
      </c>
      <c r="C22" s="26">
        <f>SUMIFS(Datenbasis!$G$13:$G$211,Datenbasis!$H$13:$H$211,A22,Datenbasis!$A$13:$A$211,"&gt;="&amp;Einstellungen!$B$4,Datenbasis!$A$13:$A$211,"&lt;"&amp;DATE(YEAR(Einstellungen!$B$4),MONTH(Einstellungen!$B$4)+1,1))</f>
        <v/>
      </c>
      <c r="D22" s="56">
        <f>IF(B22=0,"",IF(B22&lt;2,"kleiner Block / Kontextaufbau",IF(B22&gt;8,"hoher Wochenblock - Output sichtbar machen","plausibler Wochenblock")))</f>
        <v/>
      </c>
      <c r="E22" s="1" t="n"/>
      <c r="F22" s="1" t="n"/>
      <c r="G22" s="1" t="n"/>
      <c r="H22" s="1" t="n"/>
    </row>
    <row r="23" ht="15" customHeight="1" s="54">
      <c r="A23" s="56" t="n">
        <v>28</v>
      </c>
      <c r="B23" s="22">
        <f>SUMIFS(Datenbasis!$E$13:$E$211,Datenbasis!$H$13:$H$211,A23,Datenbasis!$A$13:$A$211,"&gt;="&amp;Einstellungen!$B$4,Datenbasis!$A$13:$A$211,"&lt;"&amp;DATE(YEAR(Einstellungen!$B$4),MONTH(Einstellungen!$B$4)+1,1))</f>
        <v/>
      </c>
      <c r="C23" s="26">
        <f>SUMIFS(Datenbasis!$G$13:$G$211,Datenbasis!$H$13:$H$211,A23,Datenbasis!$A$13:$A$211,"&gt;="&amp;Einstellungen!$B$4,Datenbasis!$A$13:$A$211,"&lt;"&amp;DATE(YEAR(Einstellungen!$B$4),MONTH(Einstellungen!$B$4)+1,1))</f>
        <v/>
      </c>
      <c r="D23" s="56">
        <f>IF(B23=0,"",IF(B23&lt;2,"kleiner Block / Kontextaufbau",IF(B23&gt;8,"hoher Wochenblock - Output sichtbar machen","plausibler Wochenblock")))</f>
        <v/>
      </c>
      <c r="E23" s="1" t="n"/>
      <c r="F23" s="1" t="n"/>
      <c r="G23" s="1" t="n"/>
      <c r="H23" s="1" t="n"/>
    </row>
    <row r="24" ht="15" customHeight="1" s="54">
      <c r="A24" s="56" t="n">
        <v>29</v>
      </c>
      <c r="B24" s="22">
        <f>SUMIFS(Datenbasis!$E$13:$E$211,Datenbasis!$H$13:$H$211,A24,Datenbasis!$A$13:$A$211,"&gt;="&amp;Einstellungen!$B$4,Datenbasis!$A$13:$A$211,"&lt;"&amp;DATE(YEAR(Einstellungen!$B$4),MONTH(Einstellungen!$B$4)+1,1))</f>
        <v/>
      </c>
      <c r="C24" s="26">
        <f>SUMIFS(Datenbasis!$G$13:$G$211,Datenbasis!$H$13:$H$211,A24,Datenbasis!$A$13:$A$211,"&gt;="&amp;Einstellungen!$B$4,Datenbasis!$A$13:$A$211,"&lt;"&amp;DATE(YEAR(Einstellungen!$B$4),MONTH(Einstellungen!$B$4)+1,1))</f>
        <v/>
      </c>
      <c r="D24" s="56">
        <f>IF(B24=0,"",IF(B24&lt;2,"kleiner Block / Kontextaufbau",IF(B24&gt;8,"hoher Wochenblock - Output sichtbar machen","plausibler Wochenblock")))</f>
        <v/>
      </c>
      <c r="E24" s="1" t="n"/>
      <c r="F24" s="1" t="n"/>
      <c r="G24" s="1" t="n"/>
      <c r="H24" s="1" t="n"/>
    </row>
    <row r="25" ht="15" customHeight="1" s="54">
      <c r="A25" s="56" t="n">
        <v>30</v>
      </c>
      <c r="B25" s="22">
        <f>SUMIFS(Datenbasis!$E$13:$E$211,Datenbasis!$H$13:$H$211,A25,Datenbasis!$A$13:$A$211,"&gt;="&amp;Einstellungen!$B$4,Datenbasis!$A$13:$A$211,"&lt;"&amp;DATE(YEAR(Einstellungen!$B$4),MONTH(Einstellungen!$B$4)+1,1))</f>
        <v/>
      </c>
      <c r="C25" s="26">
        <f>SUMIFS(Datenbasis!$G$13:$G$211,Datenbasis!$H$13:$H$211,A25,Datenbasis!$A$13:$A$211,"&gt;="&amp;Einstellungen!$B$4,Datenbasis!$A$13:$A$211,"&lt;"&amp;DATE(YEAR(Einstellungen!$B$4),MONTH(Einstellungen!$B$4)+1,1))</f>
        <v/>
      </c>
      <c r="D25" s="56">
        <f>IF(B25=0,"",IF(B25&lt;2,"kleiner Block / Kontextaufbau",IF(B25&gt;8,"hoher Wochenblock - Output sichtbar machen","plausibler Wochenblock")))</f>
        <v/>
      </c>
      <c r="E25" s="1" t="n"/>
      <c r="F25" s="1" t="n"/>
      <c r="G25" s="1" t="n"/>
      <c r="H25" s="1" t="n"/>
    </row>
    <row r="26" ht="15" customHeight="1" s="54">
      <c r="A26" s="56" t="n">
        <v>31</v>
      </c>
      <c r="B26" s="22">
        <f>SUMIFS(Datenbasis!$E$13:$E$211,Datenbasis!$H$13:$H$211,A26,Datenbasis!$A$13:$A$211,"&gt;="&amp;Einstellungen!$B$4,Datenbasis!$A$13:$A$211,"&lt;"&amp;DATE(YEAR(Einstellungen!$B$4),MONTH(Einstellungen!$B$4)+1,1))</f>
        <v/>
      </c>
      <c r="C26" s="26">
        <f>SUMIFS(Datenbasis!$G$13:$G$211,Datenbasis!$H$13:$H$211,A26,Datenbasis!$A$13:$A$211,"&gt;="&amp;Einstellungen!$B$4,Datenbasis!$A$13:$A$211,"&lt;"&amp;DATE(YEAR(Einstellungen!$B$4),MONTH(Einstellungen!$B$4)+1,1))</f>
        <v/>
      </c>
      <c r="D26" s="56">
        <f>IF(B26=0,"",IF(B26&lt;2,"kleiner Block / Kontextaufbau",IF(B26&gt;8,"hoher Wochenblock - Output sichtbar machen","plausibler Wochenblock")))</f>
        <v/>
      </c>
      <c r="E26" s="1" t="n"/>
      <c r="F26" s="1" t="n"/>
      <c r="G26" s="1" t="n"/>
      <c r="H26" s="1" t="n"/>
    </row>
    <row r="27" ht="15" customHeight="1" s="54">
      <c r="A27" s="56" t="n">
        <v>32</v>
      </c>
      <c r="B27" s="22">
        <f>SUMIFS(Datenbasis!$E$13:$E$211,Datenbasis!$H$13:$H$211,A27,Datenbasis!$A$13:$A$211,"&gt;="&amp;Einstellungen!$B$4,Datenbasis!$A$13:$A$211,"&lt;"&amp;DATE(YEAR(Einstellungen!$B$4),MONTH(Einstellungen!$B$4)+1,1))</f>
        <v/>
      </c>
      <c r="C27" s="26">
        <f>SUMIFS(Datenbasis!$G$13:$G$211,Datenbasis!$H$13:$H$211,A27,Datenbasis!$A$13:$A$211,"&gt;="&amp;Einstellungen!$B$4,Datenbasis!$A$13:$A$211,"&lt;"&amp;DATE(YEAR(Einstellungen!$B$4),MONTH(Einstellungen!$B$4)+1,1))</f>
        <v/>
      </c>
      <c r="D27" s="56">
        <f>IF(B27=0,"",IF(B27&lt;2,"kleiner Block / Kontextaufbau",IF(B27&gt;8,"hoher Wochenblock - Output sichtbar machen","plausibler Wochenblock")))</f>
        <v/>
      </c>
      <c r="E27" s="1" t="n"/>
      <c r="F27" s="1" t="n"/>
      <c r="G27" s="1" t="n"/>
      <c r="H27" s="1" t="n"/>
    </row>
    <row r="28" ht="15" customHeight="1" s="54">
      <c r="A28" s="56" t="n">
        <v>33</v>
      </c>
      <c r="B28" s="22">
        <f>SUMIFS(Datenbasis!$E$13:$E$211,Datenbasis!$H$13:$H$211,A28,Datenbasis!$A$13:$A$211,"&gt;="&amp;Einstellungen!$B$4,Datenbasis!$A$13:$A$211,"&lt;"&amp;DATE(YEAR(Einstellungen!$B$4),MONTH(Einstellungen!$B$4)+1,1))</f>
        <v/>
      </c>
      <c r="C28" s="26">
        <f>SUMIFS(Datenbasis!$G$13:$G$211,Datenbasis!$H$13:$H$211,A28,Datenbasis!$A$13:$A$211,"&gt;="&amp;Einstellungen!$B$4,Datenbasis!$A$13:$A$211,"&lt;"&amp;DATE(YEAR(Einstellungen!$B$4),MONTH(Einstellungen!$B$4)+1,1))</f>
        <v/>
      </c>
      <c r="D28" s="56">
        <f>IF(B28=0,"",IF(B28&lt;2,"kleiner Block / Kontextaufbau",IF(B28&gt;8,"hoher Wochenblock - Output sichtbar machen","plausibler Wochenblock")))</f>
        <v/>
      </c>
      <c r="E28" s="1" t="n"/>
      <c r="F28" s="1" t="n"/>
      <c r="G28" s="1" t="n"/>
      <c r="H28" s="1" t="n"/>
    </row>
  </sheetData>
  <mergeCells count="8">
    <mergeCell ref="B14:H14"/>
    <mergeCell ref="B13:H13"/>
    <mergeCell ref="A2:H2"/>
    <mergeCell ref="B12:H12"/>
    <mergeCell ref="B16:H16"/>
    <mergeCell ref="A11:H11"/>
    <mergeCell ref="B15:H15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tabSelected="0" workbookViewId="0">
      <selection activeCell="A1" sqref="A1"/>
    </sheetView>
  </sheetViews>
  <sheetFormatPr baseColWidth="10" defaultColWidth="8.83203125" defaultRowHeight="14"/>
  <cols>
    <col width="13" customWidth="1" style="54" min="1" max="1"/>
    <col width="18" customWidth="1" style="54" min="2" max="2"/>
    <col width="76" customWidth="1" style="54" min="3" max="3"/>
    <col width="10" customWidth="1" style="54" min="4" max="4"/>
    <col width="14" customWidth="1" style="54" min="5" max="5"/>
    <col width="18" customWidth="1" style="54" min="6" max="6"/>
  </cols>
  <sheetData>
    <row r="1" ht="28.5" customHeight="1" s="54">
      <c r="A1" s="89" t="inlineStr">
        <is>
          <t>Monatstätigkeitsschein</t>
        </is>
      </c>
      <c r="G1" s="1" t="n"/>
      <c r="H1" s="1" t="n"/>
    </row>
    <row r="2" ht="25.5" customHeight="1" s="54">
      <c r="A2" s="90" t="inlineStr">
        <is>
          <t>Druck-/kopierfähige Version. Die Formulierungen sind nutzenorientiert, aber auf die erfassten Tätigkeiten begrenzt.</t>
        </is>
      </c>
    </row>
    <row r="3" ht="15" customHeight="1" s="54">
      <c r="A3" s="1" t="n"/>
      <c r="B3" s="1" t="n"/>
      <c r="C3" s="1" t="n"/>
      <c r="D3" s="1" t="n"/>
      <c r="E3" s="1" t="n"/>
      <c r="F3" s="1" t="n"/>
      <c r="G3" s="1" t="n"/>
      <c r="H3" s="1" t="n"/>
    </row>
    <row r="4" ht="15" customHeight="1" s="54">
      <c r="A4" s="17" t="inlineStr">
        <is>
          <t>Monat</t>
        </is>
      </c>
      <c r="B4" s="27">
        <f>Einstellungen!F5</f>
        <v/>
      </c>
      <c r="C4" s="17" t="inlineStr">
        <is>
          <t>Auftraggeber</t>
        </is>
      </c>
      <c r="D4" s="28">
        <f>Einstellungen!B6</f>
        <v/>
      </c>
      <c r="E4" s="17" t="inlineStr">
        <is>
          <t>Auftragnehmer/in</t>
        </is>
      </c>
      <c r="F4" s="28">
        <f>Einstellungen!B7</f>
        <v/>
      </c>
      <c r="G4" s="1" t="n"/>
      <c r="H4" s="1" t="n"/>
    </row>
    <row r="5" ht="15" customHeight="1" s="54">
      <c r="A5" s="17" t="inlineStr">
        <is>
          <t>Gesamtstunden</t>
        </is>
      </c>
      <c r="B5" s="29" t="inlineStr">
        <is>
          <t>35,65</t>
        </is>
      </c>
      <c r="C5" s="17" t="inlineStr">
        <is>
          <t>Stundensatz</t>
        </is>
      </c>
      <c r="D5" s="29" t="inlineStr">
        <is>
          <t>85</t>
        </is>
      </c>
      <c r="E5" s="17" t="inlineStr">
        <is>
          <t>Betrag</t>
        </is>
      </c>
      <c r="F5" s="30" t="inlineStr">
        <is>
          <t>3.030,25 €</t>
        </is>
      </c>
      <c r="G5" s="1" t="n"/>
      <c r="H5" s="1" t="n"/>
    </row>
    <row r="6" ht="15" customHeight="1" s="54">
      <c r="A6" s="17" t="inlineStr">
        <is>
          <t>Kurzfazit</t>
        </is>
      </c>
      <c r="B6" s="70" t="inlineStr">
        <is>
          <t>Im Juni 2026 lagen die Schwerpunkte auf QR-Code-Tool-/Build-Analyse, technischer Arbeitsfähigkeit, erster Asana/Monday-Migrationssichtung sowie der konzeptionellen und technischen Vorbereitung der CMC-Studie 2027 einschließlich Testvarianten, POSTWURFSPEZIAL-Abstimmungen und KI-/InDesign-Automatisierung.</t>
        </is>
      </c>
      <c r="C6" s="71" t="n"/>
      <c r="D6" s="71" t="n"/>
      <c r="E6" s="71" t="n"/>
      <c r="F6" s="72" t="n"/>
      <c r="G6" s="1" t="n"/>
      <c r="H6" s="1" t="n"/>
    </row>
    <row r="7" ht="15" customHeight="1" s="54">
      <c r="A7" s="17" t="n"/>
      <c r="B7" s="73" t="n"/>
      <c r="F7" s="74" t="n"/>
      <c r="G7" s="1" t="n"/>
      <c r="H7" s="1" t="n"/>
    </row>
    <row r="8" ht="15" customHeight="1" s="54">
      <c r="A8" s="17" t="n"/>
      <c r="B8" s="75" t="n"/>
      <c r="C8" s="76" t="n"/>
      <c r="D8" s="76" t="n"/>
      <c r="E8" s="76" t="n"/>
      <c r="F8" s="77" t="n"/>
      <c r="G8" s="1" t="n"/>
      <c r="H8" s="1" t="n"/>
    </row>
    <row r="9" ht="15" customHeight="1" s="54">
      <c r="A9" s="1" t="n"/>
      <c r="B9" s="1" t="n"/>
      <c r="C9" s="1" t="n"/>
      <c r="D9" s="1" t="n"/>
      <c r="E9" s="1" t="n"/>
      <c r="F9" s="1" t="n"/>
      <c r="G9" s="1" t="n"/>
      <c r="H9" s="1" t="n"/>
    </row>
    <row r="10" ht="15" customHeight="1" s="54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15" customHeight="1" s="54">
      <c r="A11" s="36" t="inlineStr">
        <is>
          <t>Datum</t>
        </is>
      </c>
      <c r="B11" s="36" t="inlineStr">
        <is>
          <t>Bereich</t>
        </is>
      </c>
      <c r="C11" s="36" t="inlineStr">
        <is>
          <t>Tätigkeit</t>
        </is>
      </c>
      <c r="D11" s="36" t="inlineStr">
        <is>
          <t>Zeit</t>
        </is>
      </c>
      <c r="E11" s="36" t="inlineStr">
        <is>
          <t>Status</t>
        </is>
      </c>
      <c r="F11" s="1" t="n"/>
      <c r="G11" s="1" t="n"/>
      <c r="H11" s="1" t="n"/>
    </row>
    <row r="12" ht="50" customHeight="1" s="54">
      <c r="A12" s="37" t="inlineStr">
        <is>
          <t>17.06.2026</t>
        </is>
      </c>
      <c r="B12" s="38" t="inlineStr">
        <is>
          <t>QR Code</t>
        </is>
      </c>
      <c r="C12" s="38" t="inlineStr">
        <is>
          <t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      </is>
      </c>
      <c r="D12" s="39" t="inlineStr">
        <is>
          <t>3,15</t>
        </is>
      </c>
      <c r="E12" s="38" t="inlineStr">
        <is>
          <t>Abgeschlossen</t>
        </is>
      </c>
      <c r="F12" s="1" t="n"/>
      <c r="G12" s="1" t="n"/>
      <c r="H12" s="1" t="n"/>
    </row>
    <row r="13" ht="50" customHeight="1" s="54">
      <c r="A13" s="37" t="inlineStr">
        <is>
          <t>18.06.2026</t>
        </is>
      </c>
      <c r="B13" s="38" t="inlineStr">
        <is>
          <t>Technisches Setup</t>
        </is>
      </c>
      <c r="C13" s="38" t="inlineStr">
        <is>
          <t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      </is>
      </c>
      <c r="D13" s="39" t="inlineStr">
        <is>
          <t>0,75</t>
        </is>
      </c>
      <c r="E13" s="38" t="inlineStr">
        <is>
          <t>Abgeschlossen</t>
        </is>
      </c>
      <c r="F13" s="1" t="n"/>
      <c r="G13" s="1" t="n"/>
      <c r="H13" s="1" t="n"/>
    </row>
    <row r="14" ht="50" customHeight="1" s="54">
      <c r="A14" s="37" t="inlineStr">
        <is>
          <t>18.06.2026</t>
        </is>
      </c>
      <c r="B14" s="38" t="inlineStr">
        <is>
          <t>QR Code</t>
        </is>
      </c>
      <c r="C14" s="38" t="inlineStr">
        <is>
          <t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      </is>
      </c>
      <c r="D14" s="39" t="inlineStr">
        <is>
          <t>1,50</t>
        </is>
      </c>
      <c r="E14" s="38" t="inlineStr">
        <is>
          <t>Abgeschlossen</t>
        </is>
      </c>
      <c r="F14" s="1" t="n"/>
      <c r="G14" s="1" t="n"/>
      <c r="H14" s="1" t="n"/>
    </row>
    <row r="15" ht="50" customHeight="1" s="54">
      <c r="A15" s="37" t="inlineStr">
        <is>
          <t>18.06.2026</t>
        </is>
      </c>
      <c r="B15" s="38" t="inlineStr">
        <is>
          <t>Asana / Monday</t>
        </is>
      </c>
      <c r="C15" s="38" t="inlineStr">
        <is>
          <t>Projektplan Migration Monday zu Asana: Aufsetzen eines ersten Projektplan-Rahmens für die Ablösung von Monday durch Asana inklusive erster Sichtung der Asana Features.</t>
        </is>
      </c>
      <c r="D15" s="39" t="inlineStr">
        <is>
          <t>0,50</t>
        </is>
      </c>
      <c r="E15" s="38" t="inlineStr">
        <is>
          <t>Initial</t>
        </is>
      </c>
      <c r="F15" s="1" t="n"/>
      <c r="G15" s="1" t="n"/>
      <c r="H15" s="1" t="n"/>
    </row>
    <row r="16" ht="50" customHeight="1" s="54">
      <c r="A16" s="37" t="inlineStr">
        <is>
          <t>19.06.2026</t>
        </is>
      </c>
      <c r="B16" s="38" t="inlineStr">
        <is>
          <t>Asana / Monday</t>
        </is>
      </c>
      <c r="C16" s="38" t="inlineStr">
        <is>
          <t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      </is>
      </c>
      <c r="D16" s="39" t="inlineStr">
        <is>
          <t>1,15</t>
        </is>
      </c>
      <c r="E16" s="38" t="inlineStr">
        <is>
          <t>Initial</t>
        </is>
      </c>
      <c r="F16" s="1" t="n"/>
      <c r="G16" s="1" t="n"/>
      <c r="H16" s="1" t="n"/>
    </row>
    <row r="17" ht="50" customHeight="1" s="54">
      <c r="A17" s="37" t="inlineStr">
        <is>
          <t>20.06.2026</t>
        </is>
      </c>
      <c r="B17" s="38" t="inlineStr">
        <is>
          <t>QR Code</t>
        </is>
      </c>
      <c r="C17" s="38" t="inlineStr">
        <is>
          <t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      </is>
      </c>
      <c r="D17" s="39" t="inlineStr">
        <is>
          <t>2,75</t>
        </is>
      </c>
      <c r="E17" s="38" t="inlineStr">
        <is>
          <t>Abgeschlossen</t>
        </is>
      </c>
      <c r="F17" s="1" t="n"/>
      <c r="G17" s="1" t="n"/>
      <c r="H17" s="1" t="n"/>
    </row>
    <row r="18" ht="50" customHeight="1" s="54">
      <c r="A18" s="37" t="inlineStr">
        <is>
          <t>21.06.2026</t>
        </is>
      </c>
      <c r="B18" s="38" t="inlineStr">
        <is>
          <t>QR Code</t>
        </is>
      </c>
      <c r="C18" s="38" t="inlineStr">
        <is>
          <t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      </is>
      </c>
      <c r="D18" s="39" t="inlineStr">
        <is>
          <t>0,50</t>
        </is>
      </c>
      <c r="E18" s="38" t="inlineStr">
        <is>
          <t>Abgeschlossen</t>
        </is>
      </c>
      <c r="F18" s="1" t="n"/>
      <c r="G18" s="1" t="n"/>
      <c r="H18" s="1" t="n"/>
    </row>
    <row r="19" ht="50" customHeight="1" s="54">
      <c r="A19" s="37" t="inlineStr">
        <is>
          <t>23.06.2026</t>
        </is>
      </c>
      <c r="B19" s="38" t="inlineStr">
        <is>
          <t>QR Code</t>
        </is>
      </c>
      <c r="C19" s="38" t="inlineStr">
        <is>
          <t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      </is>
      </c>
      <c r="D19" s="39" t="inlineStr">
        <is>
          <t>1,20</t>
        </is>
      </c>
      <c r="E19" s="38" t="n"/>
      <c r="F19" s="1" t="n"/>
      <c r="G19" s="1" t="n"/>
      <c r="H19" s="1" t="n"/>
    </row>
    <row r="20" ht="50" customHeight="1" s="54">
      <c r="A20" s="37" t="inlineStr">
        <is>
          <t>24.06.2026</t>
        </is>
      </c>
      <c r="B20" s="38" t="inlineStr">
        <is>
          <t>Studie 2027</t>
        </is>
      </c>
      <c r="C20" s="38" t="inlineStr">
        <is>
          <t>Abstimmung Testvarianten Studienkonzept: Abstimmung mit Jule, Simone und Cathleen zur Konzeption und Einordnung der vier vorgesehenen Testvarianten; Klärung zentraler Anforderungen, Variantenlogik und nächster Schritte für die weitere Studienplanung.</t>
        </is>
      </c>
      <c r="D20" s="39" t="inlineStr">
        <is>
          <t>1,00</t>
        </is>
      </c>
      <c r="E20" s="38" t="n"/>
      <c r="F20" s="1" t="n"/>
      <c r="G20" s="1" t="n"/>
      <c r="H20" s="1" t="n"/>
    </row>
    <row r="21" ht="50" customHeight="1" s="54">
      <c r="A21" s="37" t="inlineStr">
        <is>
          <t>24.06.2026</t>
        </is>
      </c>
      <c r="B21" s="38" t="inlineStr">
        <is>
          <t>Studie 2027</t>
        </is>
      </c>
      <c r="C21" s="38" t="inlineStr">
        <is>
          <t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      </is>
      </c>
      <c r="D21" s="39" t="inlineStr">
        <is>
          <t>1,60</t>
        </is>
      </c>
      <c r="E21" s="38" t="n"/>
      <c r="F21" s="1" t="n"/>
      <c r="G21" s="1" t="n"/>
      <c r="H21" s="1" t="n"/>
    </row>
    <row r="22" ht="50" customHeight="1" s="54">
      <c r="A22" s="37" t="inlineStr">
        <is>
          <t>24.06.2026</t>
        </is>
      </c>
      <c r="B22" s="38" t="inlineStr">
        <is>
          <t>Studie 2027</t>
        </is>
      </c>
      <c r="C22" s="38" t="inlineStr">
        <is>
          <t>Briefing Präsentationsausarbeitung: Erstellung und Strukturierung eines Briefings für Cathleen zur weiteren Bearbeitung der Präsentation, inklusive Zusammenfassung relevanter Inhalte und Anforderungen für die nächste Ausarbeitungsschleife.</t>
        </is>
      </c>
      <c r="D22" s="39" t="inlineStr">
        <is>
          <t>0,50</t>
        </is>
      </c>
      <c r="E22" s="38" t="n"/>
      <c r="F22" s="1" t="n"/>
      <c r="G22" s="1" t="n"/>
      <c r="H22" s="1" t="n"/>
    </row>
    <row r="23" ht="50" customHeight="1" s="54">
      <c r="A23" s="37" t="inlineStr">
        <is>
          <t>25.06.2026</t>
        </is>
      </c>
      <c r="B23" s="38" t="inlineStr">
        <is>
          <t>Studie 2027</t>
        </is>
      </c>
      <c r="C23" s="38" t="inlineStr">
        <is>
          <t>Finalisierung Briefing und Visualisierungstexte: Finalisierung des Briefings für Cathleen sowie Ausarbeitung und Präzisierung von Textvorschlägen und Visualisierungsansätzen für die Studienpräsentation.</t>
        </is>
      </c>
      <c r="D23" s="39" t="inlineStr">
        <is>
          <t>1,20</t>
        </is>
      </c>
      <c r="E23" s="38" t="n"/>
      <c r="F23" s="1" t="n"/>
      <c r="G23" s="1" t="n"/>
      <c r="H23" s="1" t="n"/>
    </row>
    <row r="24" ht="50" customHeight="1" s="54">
      <c r="A24" s="37" t="inlineStr">
        <is>
          <t>25.06.2026</t>
        </is>
      </c>
      <c r="B24" s="38" t="inlineStr">
        <is>
          <t>Studie 2027</t>
        </is>
      </c>
      <c r="C24" s="38" t="inlineStr">
        <is>
          <t>Anfrage POSTWURFSPEZIAL: Vorbereitung und Formulierung der Anfrage zu POSTWURFSPEZIAL unter Berücksichtigung der für die Studienumsetzung relevanten Anforderungen und Abstimmungsbedarfe.</t>
        </is>
      </c>
      <c r="D24" s="39" t="inlineStr">
        <is>
          <t>0,60</t>
        </is>
      </c>
      <c r="E24" s="38" t="n"/>
      <c r="F24" s="1" t="n"/>
      <c r="G24" s="1" t="n"/>
      <c r="H24" s="1" t="n"/>
    </row>
    <row r="25" ht="50" customHeight="1" s="54">
      <c r="A25" s="37" t="inlineStr">
        <is>
          <t>25.06.2026</t>
        </is>
      </c>
      <c r="B25" s="38" t="inlineStr">
        <is>
          <t>Studie 2027</t>
        </is>
      </c>
      <c r="C25" s="38" t="inlineStr">
        <is>
          <t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      </is>
      </c>
      <c r="D25" s="39" t="inlineStr">
        <is>
          <t>2,15</t>
        </is>
      </c>
      <c r="E25" s="38" t="n"/>
      <c r="F25" s="1" t="n"/>
      <c r="G25" s="1" t="n"/>
      <c r="H25" s="1" t="n"/>
    </row>
    <row r="26" ht="50" customHeight="1" s="54">
      <c r="A26" s="37" t="inlineStr">
        <is>
          <t>25.06.2026</t>
        </is>
      </c>
      <c r="B26" s="38" t="inlineStr">
        <is>
          <t>Studie 2027</t>
        </is>
      </c>
      <c r="C26" s="38" t="inlineStr">
        <is>
          <t>Klärung Pre-Test-Vorgehen: Klärung des geplanten Pre-Test-Vorgehens mit dem Team, einschließlich Abstimmung offener Punkte und Einordnung der nächsten Schritte für die weitere Studienvorbereitung.</t>
        </is>
      </c>
      <c r="D26" s="39" t="inlineStr">
        <is>
          <t>0,30</t>
        </is>
      </c>
      <c r="E26" s="38" t="n"/>
      <c r="F26" s="1" t="n"/>
      <c r="G26" s="1" t="n"/>
      <c r="H26" s="1" t="n"/>
    </row>
    <row r="27" ht="50" customHeight="1" s="54">
      <c r="A27" s="37" t="inlineStr">
        <is>
          <t>25.06.2026</t>
        </is>
      </c>
      <c r="B27" s="38" t="inlineStr">
        <is>
          <t>Studie 2027</t>
        </is>
      </c>
      <c r="C27" s="38" t="inlineStr">
        <is>
          <t>Statusabfrage und Arbeitspaket-Update: Einholung aktueller Statusinformationen und Aktualisierung der Arbeitspakete bis zum 03.07.; Strukturierung der offenen Punkte und Nachverfolgung relevanter Zuständigkeiten.</t>
        </is>
      </c>
      <c r="D27" s="39" t="inlineStr">
        <is>
          <t>0,50</t>
        </is>
      </c>
      <c r="E27" s="38" t="n"/>
      <c r="F27" s="1" t="n"/>
      <c r="G27" s="1" t="n"/>
      <c r="H27" s="1" t="n"/>
    </row>
    <row r="28" ht="50" customHeight="1" s="54">
      <c r="A28" s="37" t="inlineStr">
        <is>
          <t>26.06.2026</t>
        </is>
      </c>
      <c r="B28" s="38" t="inlineStr">
        <is>
          <t>Studie 2027</t>
        </is>
      </c>
      <c r="C28" s="38" t="inlineStr">
        <is>
          <t>Testskript und Zusammenfassung: Erstellung eines Skripts und Zusammenfassung der Inhalte als Testfassung für Jule und Simone, einschließlich Aufbereitung der relevanten Punkte für Prüfung, Feedback und weitere Abstimmung.</t>
        </is>
      </c>
      <c r="D28" s="39" t="inlineStr">
        <is>
          <t>1,55</t>
        </is>
      </c>
      <c r="E28" s="38" t="n"/>
      <c r="F28" s="1" t="n"/>
      <c r="G28" s="1" t="n"/>
      <c r="H28" s="1" t="n"/>
    </row>
    <row r="29" ht="50" customHeight="1" s="54">
      <c r="A29" s="37" t="inlineStr">
        <is>
          <t>26.06.2026</t>
        </is>
      </c>
      <c r="B29" s="38" t="inlineStr">
        <is>
          <t>Studie 2027</t>
        </is>
      </c>
      <c r="C29" s="38" t="inlineStr">
        <is>
          <t>Vor-/Nachbereitung Christina-Abstimmung: Vor- und Nachbereitung der Abstimmung mit Christina einschließlich Terminabgleich, Strukturierung relevanter Inhalte und Ableitung der nächsten Schritte für die weitere Studien- und Präsentationsarbeit.</t>
        </is>
      </c>
      <c r="D29" s="39" t="inlineStr">
        <is>
          <t>1,10</t>
        </is>
      </c>
      <c r="E29" s="38" t="n"/>
      <c r="F29" s="1" t="n"/>
      <c r="G29" s="1" t="n"/>
      <c r="H29" s="1" t="n"/>
    </row>
    <row r="30" ht="50" customHeight="1" s="54">
      <c r="A30" s="37" t="inlineStr">
        <is>
          <t>26.06.2026</t>
        </is>
      </c>
      <c r="B30" s="38" t="inlineStr">
        <is>
          <t>Studie 2027</t>
        </is>
      </c>
      <c r="C30" s="38" t="inlineStr">
        <is>
          <t>Pre-Test-Abstimmung Lone/Lisa: Abstimmung mit Lone und Lisa zum Pre-Test sowie zum Stand der bis Freitag vorgesehenen To-dos; Klärung offener Punkte, Zuständigkeiten und nächster Schritte.</t>
        </is>
      </c>
      <c r="D30" s="39" t="inlineStr">
        <is>
          <t>0,70</t>
        </is>
      </c>
      <c r="E30" s="38" t="n"/>
      <c r="F30" s="1" t="n"/>
      <c r="G30" s="1" t="n"/>
      <c r="H30" s="1" t="n"/>
    </row>
    <row r="31" ht="50" customHeight="1" s="54">
      <c r="A31" s="37" t="inlineStr">
        <is>
          <t>26.06.2026</t>
        </is>
      </c>
      <c r="B31" s="38" t="inlineStr">
        <is>
          <t>Studie 2027</t>
        </is>
      </c>
      <c r="C31" s="38" t="inlineStr">
        <is>
          <t>Review Präsentationsüberarbeitung: Review der von Cathleen überarbeiteten Präsentation; Prüfung der inhaltlichen Anpassungen und Ableitung relevanter Rückmeldungen für die weitere Finalisierung.</t>
        </is>
      </c>
      <c r="D31" s="39" t="inlineStr">
        <is>
          <t>0,65</t>
        </is>
      </c>
      <c r="E31" s="38" t="n"/>
      <c r="F31" s="1" t="n"/>
      <c r="G31" s="1" t="n"/>
      <c r="H31" s="1" t="n"/>
    </row>
    <row r="32" ht="50" customHeight="1" s="54">
      <c r="A32" s="37" t="inlineStr">
        <is>
          <t>26.06.2026</t>
        </is>
      </c>
      <c r="B32" s="38" t="inlineStr">
        <is>
          <t>Studie 2027</t>
        </is>
      </c>
      <c r="C32" s="38" t="inlineStr">
        <is>
          <t>Status-Update und Rücksprachen: Einholung und Aufbereitung aktueller Status-Updates; Sichtung der vorliegenden Ergebnisse sowie Durchführung notwendiger Rücksprachen zur weiteren Koordination.</t>
        </is>
      </c>
      <c r="D32" s="39" t="inlineStr">
        <is>
          <t>0,75</t>
        </is>
      </c>
      <c r="E32" s="38" t="n"/>
      <c r="F32" s="1" t="n"/>
      <c r="G32" s="1" t="n"/>
      <c r="H32" s="1" t="n"/>
    </row>
    <row r="33" ht="50" customHeight="1" s="54">
      <c r="A33" s="37" t="inlineStr">
        <is>
          <t>26.06.2026</t>
        </is>
      </c>
      <c r="B33" s="38" t="inlineStr">
        <is>
          <t>Studie 2027</t>
        </is>
      </c>
      <c r="C33" s="38" t="inlineStr">
        <is>
          <t>Auswertung InDesign-Skripttest: Auswertung des Testlaufs des InDesign-Skripts; Prüfung der Ergebnisse und Identifikation relevanter Punkte für die nächste technische Überarbeitung.</t>
        </is>
      </c>
      <c r="D33" s="39" t="inlineStr">
        <is>
          <t>1,20</t>
        </is>
      </c>
      <c r="E33" s="38" t="n"/>
      <c r="F33" s="1" t="n"/>
      <c r="G33" s="1" t="n"/>
      <c r="H33" s="1" t="n"/>
    </row>
    <row r="34" ht="50" customHeight="1" s="54">
      <c r="A34" s="37" t="inlineStr">
        <is>
          <t>27.06.2026</t>
        </is>
      </c>
      <c r="B34" s="38" t="inlineStr">
        <is>
          <t>Studie 2027</t>
        </is>
      </c>
      <c r="C34" s="38" t="inlineStr">
        <is>
          <t>Skripttest-Zusammenfassung und Vorbereitung: Zusammenfassung der Ergebnisse des Skripttests und Vorbereitung des nächsten Skripttests einschließlich Strukturierung der offenen Prüf- und Anpassungspunkte.</t>
        </is>
      </c>
      <c r="D34" s="39" t="inlineStr">
        <is>
          <t>1,00</t>
        </is>
      </c>
      <c r="E34" s="38" t="n"/>
      <c r="F34" s="1" t="n"/>
      <c r="G34" s="1" t="n"/>
      <c r="H34" s="1" t="n"/>
    </row>
    <row r="35" ht="50" customHeight="1" s="54">
      <c r="A35" s="37" t="inlineStr">
        <is>
          <t>29.06.2026</t>
        </is>
      </c>
      <c r="B35" s="38" t="inlineStr">
        <is>
          <t>Studie 2027</t>
        </is>
      </c>
      <c r="C35" s="38" t="inlineStr">
        <is>
          <t>Angebotsanfrage Neukundenmodul: Rückmeldung an Christina mit Bitte um ein Angebot für das Neukundenmodul; Präzisierung des Abstimmungsbedarfs und Vorbereitung der weiteren Entscheidungsgrundlage.</t>
        </is>
      </c>
      <c r="D35" s="39" t="inlineStr">
        <is>
          <t>0,20</t>
        </is>
      </c>
      <c r="E35" s="38" t="n"/>
      <c r="F35" s="1" t="n"/>
      <c r="G35" s="1" t="n"/>
      <c r="H35" s="1" t="n"/>
    </row>
    <row r="36" ht="50" customHeight="1" s="54">
      <c r="A36" s="37" t="inlineStr">
        <is>
          <t>29.06.2026</t>
        </is>
      </c>
      <c r="B36" s="38" t="inlineStr">
        <is>
          <t>Studie 2027</t>
        </is>
      </c>
      <c r="C36" s="38" t="inlineStr">
        <is>
          <t>Projektplan-Update und Lizenzkoordination: Aktualisierung des Projektplans anhand der Rückmeldungen von Robert; Kommunikation der neuen Aufgaben und erwarteten Outcomes an die Beteiligten sowie Beauftragung der benötigten InDesign-Lizenz.</t>
        </is>
      </c>
      <c r="D36" s="39" t="inlineStr">
        <is>
          <t>0,80</t>
        </is>
      </c>
      <c r="E36" s="38" t="n"/>
      <c r="F36" s="1" t="n"/>
      <c r="G36" s="1" t="n"/>
      <c r="H36" s="1" t="n"/>
    </row>
    <row r="37" ht="50" customHeight="1" s="54">
      <c r="A37" s="37" t="inlineStr">
        <is>
          <t>29.06.2026</t>
        </is>
      </c>
      <c r="B37" s="38" t="inlineStr">
        <is>
          <t>Studie 2027</t>
        </is>
      </c>
      <c r="C37" s="38" t="inlineStr">
        <is>
          <t>KI-gestützte Varianten- und Partnerdatenverarbeitung: Konzeption und Umsetzungsschritte für eine KI-gestützte Lösung zur Variantenaufbereitung und automatisierten Auswertung von Partnerdaten; Zusammenstellung relevanter Dokumente und Assets für den Testlauf sowie Prüfung des Fragebogens auf Struktur und Umsetzbarkeit.</t>
        </is>
      </c>
      <c r="D37" s="39" t="inlineStr">
        <is>
          <t>3,80</t>
        </is>
      </c>
      <c r="E37" s="38" t="n"/>
      <c r="F37" s="1" t="n"/>
      <c r="G37" s="1" t="n"/>
      <c r="H37" s="1" t="n"/>
    </row>
    <row r="38" ht="50" customHeight="1" s="54">
      <c r="A38" s="37" t="inlineStr">
        <is>
          <t>29.06.2026</t>
        </is>
      </c>
      <c r="B38" s="38" t="inlineStr">
        <is>
          <t>Studie 2027</t>
        </is>
      </c>
      <c r="C38" s="38" t="inlineStr">
        <is>
          <t>Einweisung KI-/InDesign-Prozess: Call mit Simone zur Erklärung des KI-gestützten Prozesses, Einführung in die InDesign-Anforderungen sowie Abstimmung zur Benennung der Felder und Befüllung der Excel-Vorlage.</t>
        </is>
      </c>
      <c r="D38" s="39" t="inlineStr">
        <is>
          <t>1,00</t>
        </is>
      </c>
      <c r="E38" s="38" t="n"/>
      <c r="F38" s="1" t="n"/>
      <c r="G38" s="1" t="n"/>
      <c r="H38" s="1" t="n"/>
    </row>
    <row r="39" ht="50" customHeight="1" s="54">
      <c r="A39" s="37" t="inlineStr">
        <is>
          <t>30.06.2026</t>
        </is>
      </c>
      <c r="B39" s="38" t="inlineStr">
        <is>
          <t>Studie 2027</t>
        </is>
      </c>
      <c r="C39" s="38" t="inlineStr">
        <is>
          <t>Teamabstimmung Status und Herausforderungen: Abstimmungen mit Jule, Cathleen und Simone zu aktuellen Herausforderungen, Statusständen und nächsten Schritten; ergänzende Rückmeldung an Christina.</t>
        </is>
      </c>
      <c r="D39" s="39" t="inlineStr">
        <is>
          <t>1,20</t>
        </is>
      </c>
      <c r="E39" s="38" t="n"/>
      <c r="F39" s="1" t="n"/>
      <c r="G39" s="1" t="n"/>
      <c r="H39" s="1" t="n"/>
    </row>
    <row r="40" ht="50" customHeight="1" s="54">
      <c r="A40" s="37" t="inlineStr">
        <is>
          <t>30.06.2026</t>
        </is>
      </c>
      <c r="B40" s="38" t="inlineStr">
        <is>
          <t>Studie 2027</t>
        </is>
      </c>
      <c r="C40" s="38" t="inlineStr">
        <is>
          <t>Weiterentwicklung KI-/InDesign-Automatisierung: Weiterarbeit an der KI-gestützten Lösung zur Variantenaufbereitung und automatisierten Auswertung von Partnerdaten; Weiterentwicklung des InDesign-Skripts für den nächsten Testlauf.</t>
        </is>
      </c>
      <c r="D40" s="39" t="inlineStr">
        <is>
          <t>1,75</t>
        </is>
      </c>
      <c r="E40" s="38" t="n"/>
      <c r="F40" s="1" t="n"/>
      <c r="G40" s="1" t="n"/>
      <c r="H40" s="1" t="n"/>
    </row>
    <row r="41" ht="50" customHeight="1" s="54">
      <c r="A41" s="37" t="inlineStr">
        <is>
          <t>30.06.2026</t>
        </is>
      </c>
      <c r="B41" s="38" t="inlineStr">
        <is>
          <t>Studie 2027</t>
        </is>
      </c>
      <c r="C41" s="38" t="inlineStr">
        <is>
          <t>Review und Weitergabe Präsentation: Review der von Cathleen überarbeiteten Präsentation; Prüfung der inhaltlichen Anpassungen und Weitergabe relevanter Rückmeldungen für die weitere Bearbeitung.</t>
        </is>
      </c>
      <c r="D41" s="39" t="inlineStr">
        <is>
          <t>0,60</t>
        </is>
      </c>
      <c r="E41" s="38" t="n"/>
      <c r="F41" s="1" t="n"/>
      <c r="G41" s="1" t="n"/>
      <c r="H41" s="1" t="n"/>
    </row>
    <row r="42" ht="54" customHeight="1" s="54">
      <c r="A42" s="31" t="n"/>
      <c r="B42" s="56" t="n"/>
      <c r="C42" s="56" t="n"/>
      <c r="D42" s="32" t="n"/>
      <c r="E42" s="56" t="n"/>
      <c r="F42" s="1" t="n"/>
      <c r="G42" s="1" t="n"/>
      <c r="H42" s="1" t="n"/>
    </row>
    <row r="43" ht="54" customHeight="1" s="54">
      <c r="A43" s="31" t="n"/>
      <c r="B43" s="56" t="n"/>
      <c r="C43" s="56" t="n"/>
      <c r="D43" s="32" t="n"/>
      <c r="E43" s="56" t="n"/>
      <c r="F43" s="1" t="n"/>
      <c r="G43" s="1" t="n"/>
      <c r="H43" s="1" t="n"/>
    </row>
    <row r="44" ht="22" customHeight="1" s="54">
      <c r="A44" s="69" t="inlineStr">
        <is>
          <t>Bestätigung</t>
        </is>
      </c>
      <c r="B44" s="57" t="n"/>
      <c r="C44" s="57" t="n"/>
      <c r="D44" s="57" t="n"/>
      <c r="E44" s="58" t="n"/>
      <c r="F44" s="1" t="n"/>
      <c r="G44" s="1" t="n"/>
      <c r="H44" s="1" t="n"/>
    </row>
    <row r="45" ht="22" customHeight="1" s="54">
      <c r="A45" s="68" t="inlineStr">
        <is>
          <t>Die oben aufgeführten Leistungen wurden wahrheitsgemäß dokumentiert und beziehen sich auf den Arbeitsstand des ausgewählten Monats.</t>
        </is>
      </c>
      <c r="B45" s="57" t="n"/>
      <c r="C45" s="57" t="n"/>
      <c r="D45" s="57" t="n"/>
      <c r="E45" s="58" t="n"/>
      <c r="F45" s="1" t="n"/>
      <c r="G45" s="1" t="n"/>
      <c r="H45" s="1" t="n"/>
    </row>
    <row r="46" ht="22" customHeight="1" s="54">
      <c r="A46" s="68" t="inlineStr">
        <is>
          <t>Ort/Datum: ______________________________    Unterschrift: ______________________________</t>
        </is>
      </c>
      <c r="B46" s="57" t="n"/>
      <c r="C46" s="57" t="n"/>
      <c r="D46" s="57" t="n"/>
      <c r="E46" s="58" t="n"/>
      <c r="F46" s="1" t="n"/>
      <c r="G46" s="1" t="n"/>
      <c r="H46" s="1" t="n"/>
    </row>
    <row r="47" ht="54" customHeight="1" s="54">
      <c r="A47" s="31" t="n"/>
      <c r="B47" s="56" t="n"/>
      <c r="C47" s="56" t="n"/>
      <c r="D47" s="32" t="n"/>
      <c r="E47" s="56" t="n"/>
      <c r="F47" s="1" t="n"/>
      <c r="G47" s="1" t="n"/>
      <c r="H47" s="1" t="n"/>
    </row>
    <row r="48" ht="54" customHeight="1" s="54">
      <c r="A48" s="31" t="n"/>
      <c r="B48" s="56" t="n"/>
      <c r="C48" s="56" t="n"/>
      <c r="D48" s="32" t="n"/>
      <c r="E48" s="56" t="n"/>
      <c r="F48" s="1" t="n"/>
      <c r="G48" s="1" t="n"/>
      <c r="H48" s="1" t="n"/>
    </row>
    <row r="49" ht="54" customHeight="1" s="54">
      <c r="A49" s="31" t="n"/>
      <c r="B49" s="56" t="n"/>
      <c r="C49" s="56" t="n"/>
      <c r="D49" s="32" t="n"/>
      <c r="E49" s="56" t="n"/>
      <c r="F49" s="1" t="n"/>
      <c r="G49" s="1" t="n"/>
      <c r="H49" s="1" t="n"/>
    </row>
    <row r="50" ht="54" customHeight="1" s="54">
      <c r="A50" s="31" t="n"/>
      <c r="B50" s="56" t="n"/>
      <c r="C50" s="56" t="n"/>
      <c r="D50" s="32" t="n"/>
      <c r="E50" s="56" t="n"/>
      <c r="F50" s="1" t="n"/>
      <c r="G50" s="1" t="n"/>
      <c r="H50" s="1" t="n"/>
    </row>
    <row r="51" ht="54" customHeight="1" s="54">
      <c r="A51" s="31" t="n"/>
      <c r="B51" s="56" t="n"/>
      <c r="C51" s="56" t="n"/>
      <c r="D51" s="32" t="n"/>
      <c r="E51" s="56" t="n"/>
      <c r="F51" s="1" t="n"/>
      <c r="G51" s="1" t="n"/>
      <c r="H51" s="1" t="n"/>
    </row>
    <row r="52" ht="54" customHeight="1" s="54">
      <c r="A52" s="31" t="n"/>
      <c r="B52" s="56" t="n"/>
      <c r="C52" s="56" t="n"/>
      <c r="D52" s="32" t="n"/>
      <c r="E52" s="56" t="n"/>
      <c r="F52" s="1" t="n"/>
      <c r="G52" s="1" t="n"/>
      <c r="H52" s="1" t="n"/>
    </row>
    <row r="53" ht="54" customHeight="1" s="54">
      <c r="A53" s="31" t="n"/>
      <c r="B53" s="56" t="n"/>
      <c r="C53" s="56" t="n"/>
      <c r="D53" s="32" t="n"/>
      <c r="E53" s="56" t="n"/>
      <c r="F53" s="1" t="n"/>
      <c r="G53" s="1" t="n"/>
      <c r="H53" s="1" t="n"/>
    </row>
    <row r="54" ht="54" customHeight="1" s="54">
      <c r="A54" s="31" t="n"/>
      <c r="B54" s="56" t="n"/>
      <c r="C54" s="56" t="n"/>
      <c r="D54" s="32" t="n"/>
      <c r="E54" s="56" t="n"/>
      <c r="F54" s="1" t="n"/>
      <c r="G54" s="1" t="n"/>
      <c r="H54" s="1" t="n"/>
    </row>
    <row r="55" ht="54" customHeight="1" s="54">
      <c r="A55" s="31" t="n"/>
      <c r="B55" s="56" t="n"/>
      <c r="C55" s="56" t="n"/>
      <c r="D55" s="32" t="n"/>
      <c r="E55" s="56" t="n"/>
      <c r="F55" s="1" t="n"/>
      <c r="G55" s="1" t="n"/>
      <c r="H55" s="1" t="n"/>
    </row>
    <row r="56" ht="54" customHeight="1" s="54">
      <c r="A56" s="31" t="n"/>
      <c r="B56" s="56" t="n"/>
      <c r="C56" s="56" t="n"/>
      <c r="D56" s="32" t="n"/>
      <c r="E56" s="56" t="n"/>
      <c r="F56" s="1" t="n"/>
      <c r="G56" s="1" t="n"/>
      <c r="H56" s="1" t="n"/>
    </row>
    <row r="57" ht="54" customHeight="1" s="54">
      <c r="A57" s="31" t="n"/>
      <c r="B57" s="56" t="n"/>
      <c r="C57" s="56" t="n"/>
      <c r="D57" s="32" t="n"/>
      <c r="E57" s="56" t="n"/>
      <c r="F57" s="1" t="n"/>
      <c r="G57" s="1" t="n"/>
      <c r="H57" s="1" t="n"/>
    </row>
    <row r="58" ht="54" customHeight="1" s="54">
      <c r="A58" s="31" t="n"/>
      <c r="B58" s="56" t="n"/>
      <c r="C58" s="56" t="n"/>
      <c r="D58" s="32" t="n"/>
      <c r="E58" s="56" t="n"/>
      <c r="F58" s="1" t="n"/>
      <c r="G58" s="1" t="n"/>
      <c r="H58" s="1" t="n"/>
    </row>
    <row r="59" ht="54" customHeight="1" s="54">
      <c r="A59" s="31" t="n"/>
      <c r="B59" s="56" t="n"/>
      <c r="C59" s="56" t="n"/>
      <c r="D59" s="32" t="n"/>
      <c r="E59" s="56" t="n"/>
      <c r="F59" s="1" t="n"/>
      <c r="G59" s="1" t="n"/>
      <c r="H59" s="1" t="n"/>
    </row>
    <row r="60" ht="54" customHeight="1" s="54">
      <c r="A60" s="31" t="n"/>
      <c r="B60" s="56" t="n"/>
      <c r="C60" s="56" t="n"/>
      <c r="D60" s="32" t="n"/>
      <c r="E60" s="56" t="n"/>
      <c r="F60" s="1" t="n"/>
      <c r="G60" s="1" t="n"/>
      <c r="H60" s="1" t="n"/>
    </row>
    <row r="61" ht="54" customHeight="1" s="54">
      <c r="A61" s="31" t="n"/>
      <c r="B61" s="56" t="n"/>
      <c r="C61" s="56" t="n"/>
      <c r="D61" s="32" t="n"/>
      <c r="E61" s="56" t="n"/>
      <c r="F61" s="1" t="n"/>
      <c r="G61" s="1" t="n"/>
      <c r="H61" s="1" t="n"/>
    </row>
    <row r="62" ht="54" customHeight="1" s="54">
      <c r="A62" s="31" t="n"/>
      <c r="B62" s="56" t="n"/>
      <c r="C62" s="56" t="n"/>
      <c r="D62" s="32" t="n"/>
      <c r="E62" s="56" t="n"/>
      <c r="F62" s="1" t="n"/>
      <c r="G62" s="1" t="n"/>
      <c r="H62" s="1" t="n"/>
    </row>
    <row r="63" ht="54" customHeight="1" s="54">
      <c r="A63" s="31" t="n"/>
      <c r="B63" s="56" t="n"/>
      <c r="C63" s="56" t="n"/>
      <c r="D63" s="32" t="n"/>
      <c r="E63" s="56" t="n"/>
      <c r="F63" s="1" t="n"/>
      <c r="G63" s="1" t="n"/>
      <c r="H63" s="1" t="n"/>
    </row>
    <row r="64" ht="54" customHeight="1" s="54">
      <c r="A64" s="31" t="n"/>
      <c r="B64" s="56" t="n"/>
      <c r="C64" s="56" t="n"/>
      <c r="D64" s="32" t="n"/>
      <c r="E64" s="56" t="n"/>
      <c r="F64" s="1" t="n"/>
      <c r="G64" s="1" t="n"/>
      <c r="H64" s="1" t="n"/>
    </row>
    <row r="65" ht="54" customHeight="1" s="54">
      <c r="A65" s="31" t="n"/>
      <c r="B65" s="56" t="n"/>
      <c r="C65" s="56" t="n"/>
      <c r="D65" s="32" t="n"/>
      <c r="E65" s="56" t="n"/>
      <c r="F65" s="1" t="n"/>
      <c r="G65" s="1" t="n"/>
      <c r="H65" s="1" t="n"/>
    </row>
    <row r="66" ht="54" customHeight="1" s="54">
      <c r="A66" s="31" t="n"/>
      <c r="B66" s="56" t="n"/>
      <c r="C66" s="56" t="n"/>
      <c r="D66" s="32" t="n"/>
      <c r="E66" s="56" t="n"/>
      <c r="F66" s="1" t="n"/>
      <c r="G66" s="1" t="n"/>
      <c r="H66" s="1" t="n"/>
    </row>
    <row r="67" ht="54" customHeight="1" s="54">
      <c r="A67" s="31" t="n"/>
      <c r="B67" s="56" t="n"/>
      <c r="C67" s="56" t="n"/>
      <c r="D67" s="32" t="n"/>
      <c r="E67" s="56" t="n"/>
      <c r="F67" s="1" t="n"/>
      <c r="G67" s="1" t="n"/>
      <c r="H67" s="1" t="n"/>
    </row>
    <row r="68" ht="54" customHeight="1" s="54">
      <c r="A68" s="31" t="n"/>
      <c r="B68" s="56" t="n"/>
      <c r="C68" s="56" t="n"/>
      <c r="D68" s="32" t="n"/>
      <c r="E68" s="56" t="n"/>
      <c r="F68" s="1" t="n"/>
      <c r="G68" s="1" t="n"/>
      <c r="H68" s="1" t="n"/>
    </row>
    <row r="69" ht="54" customHeight="1" s="54">
      <c r="A69" s="31" t="n"/>
      <c r="B69" s="56" t="n"/>
      <c r="C69" s="56" t="n"/>
      <c r="D69" s="32" t="n"/>
      <c r="E69" s="56" t="n"/>
      <c r="F69" s="1" t="n"/>
      <c r="G69" s="1" t="n"/>
      <c r="H69" s="1" t="n"/>
    </row>
    <row r="70" ht="54" customHeight="1" s="54">
      <c r="A70" s="31" t="n"/>
      <c r="B70" s="56" t="n"/>
      <c r="C70" s="56" t="n"/>
      <c r="D70" s="32" t="n"/>
      <c r="E70" s="56" t="n"/>
      <c r="F70" s="1" t="n"/>
      <c r="G70" s="1" t="n"/>
      <c r="H70" s="1" t="n"/>
    </row>
    <row r="71" ht="54" customHeight="1" s="54">
      <c r="A71" s="31" t="n"/>
      <c r="B71" s="56" t="n"/>
      <c r="C71" s="56" t="n"/>
      <c r="D71" s="32" t="n"/>
      <c r="E71" s="56" t="n"/>
      <c r="F71" s="1" t="n"/>
      <c r="G71" s="1" t="n"/>
      <c r="H71" s="1" t="n"/>
    </row>
    <row r="72" ht="15" customHeight="1" s="54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5" customHeight="1" s="54">
      <c r="A73" s="60" t="n"/>
      <c r="B73" s="61" t="n"/>
      <c r="C73" s="61" t="n"/>
      <c r="D73" s="61" t="n"/>
      <c r="E73" s="61" t="n"/>
      <c r="F73" s="62" t="n"/>
      <c r="G73" s="1" t="n"/>
      <c r="H73" s="1" t="n"/>
    </row>
    <row r="74" ht="15" customHeight="1" s="54">
      <c r="A74" s="66" t="n"/>
      <c r="F74" s="67" t="n"/>
      <c r="G74" s="1" t="n"/>
      <c r="H74" s="1" t="n"/>
    </row>
    <row r="75" ht="15" customHeight="1" s="54">
      <c r="A75" s="63" t="n"/>
      <c r="B75" s="64" t="n"/>
      <c r="C75" s="64" t="n"/>
      <c r="D75" s="64" t="n"/>
      <c r="E75" s="64" t="n"/>
      <c r="F75" s="65" t="n"/>
      <c r="G75" s="1" t="n"/>
      <c r="H75" s="1" t="n"/>
    </row>
  </sheetData>
  <mergeCells count="9">
    <mergeCell ref="A73:F73"/>
    <mergeCell ref="A1:F1"/>
    <mergeCell ref="A2:H2"/>
    <mergeCell ref="A75:F75"/>
    <mergeCell ref="A74:F74"/>
    <mergeCell ref="A45:E45"/>
    <mergeCell ref="A46:E46"/>
    <mergeCell ref="A44:E44"/>
    <mergeCell ref="B6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2026-07-04T13:50:44Z</dcterms:created>
  <dcterms:modified xmlns:dcterms="http://purl.org/dc/terms/" xmlns:xsi="http://www.w3.org/2001/XMLSchema-instance" xsi:type="dcterms:W3CDTF">2026-07-08T11:51:24Z</dcterms:modified>
  <cp:lastModifiedBy>Alexander Westen</cp:lastModifiedBy>
</cp:coreProperties>
</file>