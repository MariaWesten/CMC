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61e0c410f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stellungen" sheetId="1" r:id="R3e041fd721414ba3"/>
    <x:sheet xmlns:r="http://schemas.openxmlformats.org/officeDocument/2006/relationships" name="Zeiterfassung" sheetId="2" r:id="Ra590136cdea24882"/>
    <x:sheet xmlns:r="http://schemas.openxmlformats.org/officeDocument/2006/relationships" name="Datenbasis" sheetId="3" r:id="R0827a8f537b34eee"/>
    <x:sheet xmlns:r="http://schemas.openxmlformats.org/officeDocument/2006/relationships" name="Auswertung" sheetId="4" r:id="R2bc5fc995fb94992"/>
    <x:sheet xmlns:r="http://schemas.openxmlformats.org/officeDocument/2006/relationships" name="Monatstätigkeitsschein" sheetId="5" r:id="Rb291cc415a9b4567"/>
  </x:sheets>
</x:workbook>
</file>

<file path=xl/comments1.xml><?xml version="1.0" encoding="utf-8"?>
<x:comments xmlns:x="http://schemas.openxmlformats.org/spreadsheetml/2006/main">
  <x:authors>
    <x:author>tc={F89CCBA1-22E2-0630-CC26-592B42192A4E}</x:author>
  </x:authors>
  <x:commentList>
    <x:comment ref="B5" authorId="0">
      <x:text>
        <x:r>
          <x: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Stundensatz aus Screenshot abgeleitet. Nach Aufnahme der finalen QR-Gegenüberstellungs-Aufbereitung: 10,30 Stunden x 85 EUR = 875,50 EUR.</x:t>
        </x:r>
      </x:text>
    </x:comment>
  </x:commentList>
</x:comments>
</file>

<file path=xl/comments2.xml><?xml version="1.0" encoding="utf-8"?>
<x:comments xmlns:x="http://schemas.openxmlformats.org/spreadsheetml/2006/main">
  <x:authors>
    <x:author>tc={2B2BB1D6-85B9-DF64-B7ED-40D15F2D7BEE}</x:author>
  </x:authors>
  <x:commentList>
    <x:comment ref="B12" authorId="0">
      <x:text>
        <x:r>
          <x: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Ehrliche Einordnung: Der QR-Anteil ist plausibel, weil ein konkretes Arbeitsergebnis vorliegt: /Users/mariaake/Documents/CMC/outputs/CMC_QR_Tool_Gegenueberstellung.xlsx.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<x:sst xmlns:x="http://schemas.openxmlformats.org/spreadsheetml/2006/main">
  <x:si>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Einstellungen</x:t>
  </x:si>
  <x:si>
    <x:t xml:space="preserve">Monat und Stundensatz hier ändern; alle Auswertungen und der Tätigkeitsschein greifen darauf zurück.</x:t>
  </x:si>
  <x:si>
    <x:t xml:space="preserve">Monat beginnt am</x:t>
  </x:si>
  <x:si>
    <x:t xml:space="preserve">Kategorie-Liste</x:t>
  </x:si>
  <x:si>
    <x:t xml:space="preserve">Status-Liste</x:t>
  </x:si>
  <x:si>
    <x:t xml:space="preserve">Monatslabel</x:t>
  </x:si>
  <x:si>
    <x:t xml:space="preserve">Stundensatz</x:t>
  </x:si>
  <x:si>
    <x:t xml:space="preserve">Analyse / Recherche</x:t>
  </x:si>
  <x:si>
    <x:t xml:space="preserve">Initial</x:t>
  </x:si>
  <x:si>
    <x:t xml:space="preserve">Auftraggeber</x:t>
  </x:si>
  <x:si>
    <x:t xml:space="preserve">Robert</x:t>
  </x:si>
  <x:si>
    <x:t xml:space="preserve">Technische Konzeption</x:t>
  </x:si>
  <x:si>
    <x:t xml:space="preserve">In Arbeit</x:t>
  </x:si>
  <x:si>
    <x:t xml:space="preserve">Auftragnehmer/in</x:t>
  </x:si>
  <x:si>
    <x:t xml:space="preserve">Maria</x:t>
  </x:si>
  <x:si>
    <x:t xml:space="preserve">Projektplanung</x:t>
  </x:si>
  <x:si>
    <x:t xml:space="preserve">Abgeschlossen</x:t>
  </x:si>
  <x:si>
    <x:t xml:space="preserve">Währung</x:t>
  </x:si>
  <x:si>
    <x:t xml:space="preserve">EUR</x:t>
  </x:si>
  <x:si>
    <x:t xml:space="preserve">Setup / Administration</x:t>
  </x:si>
  <x:si>
    <x:t xml:space="preserve">Max. Tracking-Zeilen</x:t>
  </x:si>
  <x:si>
    <x:t xml:space="preserve">Umsetzung / Dokumentation</x:t>
  </x:si>
  <x:si>
    <x:t xml:space="preserve">Hinweis</x:t>
  </x:si>
  <x:si>
    <x:t xml:space="preserve">Zeiterfassung ist als Screenshot-Ansicht für Robert formatiert. Details/Kategorien liegen in der Datenbasis.</x:t>
  </x:si>
  <x:si>
    <x:t xml:space="preserve">Datei-Zweck</x:t>
  </x:si>
  <x:si>
    <x:t xml:space="preserve">Laufendes Time Tracking + monatlicher Tätigkeitsschein</x:t>
  </x:si>
  <x:si>
    <x:t xml:space="preserve">Datenbasis</x:t>
  </x:si>
  <x:si>
    <x:t xml:space="preserve">Interne Arbeitsdaten für Auswertung und Tätigkeitsschein. Roberts Screenshot wird aus dem Blatt Zeiterfassung erstellt.</x:t>
  </x:si>
  <x:si>
    <x:t xml:space="preserve">Monat</x:t>
  </x:si>
  <x:si>
    <x:t xml:space="preserve">Monatsstunden</x:t>
  </x:si>
  <x:si>
    <x:t xml:space="preserve">Monatsbetrag</x:t>
  </x:si>
  <x:si>
    <x:t xml:space="preserve">Datum</x:t>
  </x:si>
  <x:si>
    <x:t xml:space="preserve">Bereich</x:t>
  </x:si>
  <x:si>
    <x:t xml:space="preserve">Aufgabe kurz</x:t>
  </x:si>
  <x:si>
    <x:t xml:space="preserve">Tätigkeit</x:t>
  </x:si>
  <x:si>
    <x:t xml:space="preserve">Zeit (Std.)</x:t>
  </x:si>
  <x:si>
    <x:t xml:space="preserve">Betrag</x:t>
  </x:si>
  <x:si>
    <x:t xml:space="preserve">KW</x:t>
  </x:si>
  <x:si>
    <x:t xml:space="preserve">Kategorie</x:t>
  </x:si>
  <x:si>
    <x:t xml:space="preserve">Status</x:t>
  </x:si>
  <x:si>
    <x:t xml:space="preserve">QR Code</x:t>
  </x:si>
  <x:si>
    <x:t xml:space="preserve">Prozess-Refresh, Toolmarkt und Build-Option</x:t>
  </x:si>
  <x:si>
    <x:t xml:space="preserve"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x:t>
  </x:si>
  <x:si>
    <x:t xml:space="preserve">Technisches Setup</x:t>
  </x:si>
  <x:si>
    <x:t xml:space="preserve">Accounts, Mail und Arbeitsumgebung</x:t>
  </x:si>
  <x:si>
    <x:t xml:space="preserve">Einrichtung und Prüfung der benötigten Accounts/Mail-Zugänge sowie kurze Orientierung in vorhandenen technischen Unterlagen und Arbeitsständen. Ergebnis: Reduziert Reibung im Folgeprozess und stellt sicher, dass weitere Analyse/Umsetzung ohne Zugriffshürden starten kann.</x:t>
  </x:si>
  <x:si>
    <x:t xml:space="preserve">Technisches Setup und Stack-Vorauswahl</x:t>
  </x:si>
  <x:si>
    <x:t xml:space="preserve"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x:t>
  </x:si>
  <x:si>
    <x:t xml:space="preserve">Asana / Monday</x:t>
  </x:si>
  <x:si>
    <x:t xml:space="preserve">Projektplan Migration Monday zu Asana</x:t>
  </x:si>
  <x:si>
    <x:t xml:space="preserve">Aufsetzen eines ersten Projektplan-Rahmens für die Ablösung von Monday durch Asana inklusive erster Sichtung der Asana Features.</x:t>
  </x:si>
  <x:si>
    <x:t xml:space="preserve">Board- und Prozessanalyse</x:t>
  </x:si>
  <x:si>
    <x:t xml:space="preserve"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x:t>
  </x:si>
  <x:si>
    <x:t xml:space="preserve">Toolvergleich und Build-Abgleich</x:t>
  </x:si>
  <x:si>
    <x:t xml:space="preserve"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x:t>
  </x:si>
  <x:si>
    <x:t xml:space="preserve">Gegenüberstellung prüfen, ergänzen und aufbereiten</x:t>
  </x:si>
  <x:si>
    <x:t xml:space="preserve"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x:t>
  </x:si>
  <x:si>
    <x:t xml:space="preserve">Summe</x:t>
  </x:si>
  <x:si>
    <x:t xml:space="preserve">Studie 2027</x:t>
  </x:si>
  <x:si>
    <x:t xml:space="preserve">Vor- und Nachbereitung der Abstimmung mit Christina und der Termin mit Christina</x:t>
  </x:si>
  <x:si>
    <x:t xml:space="preserve">Absprache mit Lone und Lisa zu Pre-test und stand der Todos bis Freitag</x:t>
  </x:si>
  <x:si>
    <x:t xml:space="preserve">Review Präsentationsüberarbeitung von cathleen</x:t>
  </x:si>
  <x:si>
    <x:t xml:space="preserve">Status Update einsammeln und aufbereiten, Ergbenisse anschauen und Rücksprachen</x:t>
  </x:si>
  <x:si>
    <x:t xml:space="preserve">Auswertung Testlauf InDesign Skript</x:t>
  </x:si>
  <x:si>
    <x:t xml:space="preserve">Zusammenfassung Ergebnisse des Skripttest und Vorbereitung des nächsten Skripttests</x:t>
  </x:si>
  <x:si>
    <x:t xml:space="preserve">Auswertung</x:t>
  </x:si>
  <x:si>
    <x:t xml:space="preserve">Kurzer Plausibilitätscheck und Monatsübersicht aus der Zeiterfassung.</x:t>
  </x:si>
  <x:si>
    <x:t xml:space="preserve">Stunden</x:t>
  </x:si>
  <x:si>
    <x:t xml:space="preserve">Anteil</x:t>
  </x:si>
  <x:si>
    <x:t xml:space="preserve">Gesamtstunden</x:t>
  </x:si>
  <x:si>
    <x:t xml:space="preserve">Schonungslos ehrlicher Check</x:t>
  </x:si>
  <x:si>
    <x:t xml:space="preserve">Gesamteindruck</x:t>
  </x:si>
  <x:si>
    <x:t xml:space="preserve">10,30 Stunden für Startwoche/Analysephase sind plausibel. Der QR-Code-Anteil ist durch ein konkretes Ergebnis belegt: CMC_QR_Tool_Gegenueberstellung.xlsx plus technische Stack-Klarheit.</x:t>
  </x:si>
  <x:si>
    <x:t xml:space="preserve">QR-Code-Anteil</x:t>
  </x:si>
  <x:si>
    <x:t xml:space="preserve">7,90 Stunden QR-Code sind mit diesem Output gut begründbar: Entscheidungsmatrix, Eigenbau-vs.-Markttool-Abgleich, Volumenannahmen, Risiken, Kurzfazit, Ergänzungen und nächste Schritte sind verwertbarer Mehrwert.</x:t>
  </x:si>
  <x:si>
    <x:t xml:space="preserve">Asana/Monday</x:t>
  </x:si>
  <x:si>
    <x:t xml:space="preserve">1,65 Stunden sind für eine echte Migration zu wenig, aber als erster Projektplan plus Sichtung plausibel. Bitte nicht als vollständige Migrationsanalyse verkaufen.</x:t>
  </x:si>
  <x:si>
    <x:t xml:space="preserve">Setup-Zeit</x:t>
  </x:si>
  <x:si>
    <x:t xml:space="preserve">0,75 Stunden für Accounts/Mail ist normal und unkritisch, sollte aber nicht größer werden, wenn kein technisches Problem dahintersteht.</x:t>
  </x:si>
  <x:si>
    <x:t xml:space="preserve">Empfehlung</x:t>
  </x:si>
  <x:si>
    <x:t xml:space="preserve">Für künftige Einträge immer ein Ergebnis ergänzen: Entscheidung, verworfene Option, Nächstes To-do, Risiko oder Vereinfachung. Dann liest Robert Mehrwert statt nur Arbeitszeit.</x:t>
  </x:si>
  <x:si>
    <x:t xml:space="preserve">Monatstätigkeitsschein</x:t>
  </x:si>
  <x:si>
    <x:t xml:space="preserve">Druck-/kopierfähige Version. Die Formulierungen sind nutzenorientiert, aber auf die erfassten Tätigkeiten begrenzt.</x:t>
  </x:si>
  <x:si>
    <x:t xml:space="preserve">Kurzfazit</x:t>
  </x:si>
  <x:si>
    <x:t xml:space="preserve">Im Juni 2026 lag der Schwerpunkt auf QR-Code-Tool-/Build-Analyse, technischer Arbeitsfähigkeit und erster Asana/Monday-Migrationssichtung. Konkretes QR-Ergebnis ist die Datei CMC_QR_Tool_Gegenueberstellung.xlsx mit Entscheidungsmatrix, Tool-/Eigenbau-Abgleich, Annahmen und nächsten Schritten; zusätzlich wurde Klarheit über den technischen Stack geschaffen.</x:t>
  </x:si>
  <x:si>
    <x:t xml:space="preserve">Zeit</x:t>
  </x:si>
  <x:si>
    <x:t xml:space="preserve">Bestätigung</x:t>
  </x:si>
  <x:si>
    <x:t xml:space="preserve">Die oben aufgeführten Leistungen wurden wahrheitsgemäß dokumentiert und beziehen sich auf den Arbeitsstand des ausgewählten Monats.</x:t>
  </x:si>
  <x:si>
    <x:t xml:space="preserve">Ort/Datum: ______________________________    Unterschrift: ______________________________</x:t>
  </x:si>
</x:sst>
</file>

<file path=xl/styles.xml><?xml version="1.0" encoding="utf-8"?>
<x:styleSheet xmlns:x="http://schemas.openxmlformats.org/spreadsheetml/2006/main">
  <x:numFmts count="3">
    <x:numFmt numFmtId="164" formatCode="dd&quot;.&quot;mm&quot;.&quot;yyyy"/>
    <x:numFmt numFmtId="165" formatCode="#,##0.00\ [$EUR]"/>
    <x:numFmt numFmtId="166" formatCode="0.0%"/>
  </x:numFmts>
  <x:fonts count="16">
    <x:font>
      <x:sz val="11"/>
      <x:name val="Carlito"/>
    </x:font>
    <x:font>
      <x:b/>
      <x:sz val="18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75569"/>
      <x:name val="Aptos"/>
    </x:font>
    <x:font>
      <x:b/>
      <x:sz val="10"/>
      <x:name val="Aptos"/>
    </x:font>
    <x:font>
      <x:b/>
      <x:sz val="18"/>
      <x:color rgb="FF000000"/>
      <x:name val="Aptos"/>
    </x:font>
    <x:font>
      <x:b/>
      <x:sz val="10"/>
      <x:color rgb="FF000000"/>
      <x:name val="Aptos"/>
    </x:font>
    <x:font>
      <x:sz val="11"/>
      <x:name val="Carlito"/>
    </x:font>
    <x:font>
      <x:b/>
      <x:sz val="20"/>
      <x:color rgb="FF000000"/>
      <x:name val="Aptos"/>
    </x:font>
    <x:font>
      <x:b/>
      <x:sz val="11"/>
      <x:name val="Aptos"/>
    </x:font>
    <x:font>
      <x:sz val="11"/>
      <x:name val="Aptos"/>
    </x:font>
    <x:font>
      <x:b/>
      <x:sz val="11"/>
      <x:name val="Carlito"/>
    </x:font>
    <x:font>
      <x:sz val="11"/>
      <x:name val="Aptos"/>
    </x:font>
    <x:font>
      <x:sz val="11"/>
      <x:name val="Carlito"/>
    </x:font>
    <x:font>
      <x:b/>
      <x:sz val="1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2FF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59E0B"/>
      </x:patternFill>
    </x:fill>
    <x:fill>
      <x:patternFill patternType="solid">
        <x:fgColor rgb="FFEAF7ED"/>
      </x:patternFill>
    </x:fill>
    <x:fill>
      <x:patternFill patternType="solid">
        <x:fgColor rgb="FFFFFFFF"/>
      </x:patternFill>
    </x:fill>
  </x:fills>
  <x:borders count="30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medium">
        <x:color rgb="FF666666"/>
      </x:left>
      <x:right style="medium">
        <x:color rgb="FF666666"/>
      </x:right>
      <x:top style="medium">
        <x:color rgb="FF666666"/>
      </x:top>
      <x:bottom style="medium">
        <x:color rgb="FF666666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243B53"/>
      </x:left>
      <x:right style="thin">
        <x:color rgb="FF243B53"/>
      </x:right>
      <x:top style="thin">
        <x:color rgb="FF243B53"/>
      </x:top>
      <x:bottom style="thin">
        <x:color rgb="FF243B53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15803D"/>
      </x:left>
      <x:top style="thin">
        <x:color rgb="FF15803D"/>
      </x:top>
    </x:border>
    <x:border>
      <x:top style="thin">
        <x:color rgb="FF15803D"/>
      </x:top>
    </x:border>
    <x:border>
      <x:right style="thin">
        <x:color rgb="FF15803D"/>
      </x:right>
      <x:top style="thin">
        <x:color rgb="FF15803D"/>
      </x:top>
    </x:border>
    <x:border>
      <x:left style="thin">
        <x:color rgb="FF15803D"/>
      </x:left>
    </x:border>
    <x:border>
      <x:right style="thin">
        <x:color rgb="FF15803D"/>
      </x:right>
    </x:border>
    <x:border>
      <x:left style="thin">
        <x:color rgb="FF15803D"/>
      </x:left>
      <x:bottom style="thin">
        <x:color rgb="FF15803D"/>
      </x:bottom>
    </x:border>
    <x:border>
      <x:bottom style="thin">
        <x:color rgb="FF15803D"/>
      </x:bottom>
    </x:border>
    <x:border>
      <x:right style="thin">
        <x:color rgb="FF15803D"/>
      </x:right>
      <x:bottom style="thin">
        <x:color rgb="FF15803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double">
        <x:color indexed="64"/>
      </x:bottom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</x:border>
  </x:borders>
  <x:cellStyleXfs count="2">
    <x:xf numFmtId="0" fontId="0" fillId="0" borderId="0"/>
    <x:xf numFmtId="0" fontId="8" fillId="0" borderId="0"/>
  </x:cellStyleXfs>
  <x:cellXfs count="98">
    <x:xf numFmtId="0" fontId="0" fillId="0" borderId="0" xfId="0"/>
    <x:xf numFmtId="0" fontId="3" fillId="0" borderId="0" xfId="1" applyFont="1"/>
    <x:xf numFmtId="0" fontId="5" fillId="4" borderId="1" xfId="1" applyFont="1" applyFill="1" applyBorder="1"/>
    <x:xf numFmtId="164" fontId="3" fillId="0" borderId="1" xfId="1" applyNumberFormat="1" applyFont="1" applyBorder="1" applyAlignment="1">
      <x:alignment wrapText="1"/>
    </x:xf>
    <x:xf numFmtId="0" fontId="2" fillId="5" borderId="0" xfId="1" applyFont="1" applyFill="1" applyAlignment="1">
      <x:alignment horizontal="center"/>
    </x:xf>
    <x:xf numFmtId="4" fontId="3" fillId="0" borderId="1" xfId="1" applyNumberFormat="1" applyFont="1" applyBorder="1" applyAlignment="1">
      <x:alignment wrapText="1"/>
    </x:xf>
    <x:xf numFmtId="0" fontId="3" fillId="0" borderId="1" xfId="1" applyFont="1" applyBorder="1"/>
    <x:xf numFmtId="0" fontId="3" fillId="0" borderId="1" xfId="1" applyFont="1" applyBorder="1" applyAlignment="1">
      <x:alignment wrapText="1"/>
    </x:xf>
    <x:xf numFmtId="0" fontId="6" fillId="6" borderId="2" xfId="1" applyFont="1" applyFill="1" applyBorder="1" applyAlignment="1">
      <x:alignment horizontal="center" vertical="center" wrapText="1"/>
    </x:xf>
    <x:xf numFmtId="0" fontId="7" fillId="6" borderId="2" xfId="1" applyFont="1" applyFill="1" applyBorder="1" applyAlignment="1">
      <x:alignment horizontal="center" vertical="center" wrapText="1"/>
    </x:xf>
    <x:xf numFmtId="0" fontId="5" fillId="0" borderId="3" xfId="1" applyFont="1" applyBorder="1" applyAlignment="1">
      <x:alignment horizontal="left" vertical="center" wrapText="1"/>
    </x:xf>
    <x:xf numFmtId="0" fontId="3" fillId="0" borderId="3" xfId="1" applyFont="1" applyBorder="1" applyAlignment="1">
      <x:alignment vertical="center" wrapText="1"/>
    </x:xf>
    <x:xf numFmtId="0" fontId="3" fillId="0" borderId="3" xfId="1" applyFont="1" applyBorder="1" applyAlignment="1">
      <x:alignment horizontal="right" vertical="center" wrapText="1"/>
    </x:xf>
    <x:xf numFmtId="0" fontId="5" fillId="0" borderId="3" xfId="1" applyFont="1" applyBorder="1" applyAlignment="1">
      <x:alignment vertical="center"/>
    </x:xf>
    <x:xf numFmtId="0" fontId="5" fillId="0" borderId="3" xfId="1" applyFont="1" applyBorder="1" applyAlignment="1">
      <x:alignment horizontal="right" vertical="center"/>
    </x:xf>
    <x:xf numFmtId="0" fontId="3" fillId="0" borderId="0" xfId="1" applyFont="1" applyAlignment="1">
      <x:alignment horizontal="right"/>
    </x:xf>
    <x:xf numFmtId="0" fontId="2" fillId="2" borderId="0" xfId="1" applyFont="1" applyFill="1" applyAlignment="1">
      <x:alignment horizontal="center"/>
    </x:xf>
    <x:xf numFmtId="49" fontId="5" fillId="3" borderId="4" xfId="1" applyNumberFormat="1" applyFont="1" applyFill="1" applyBorder="1" applyAlignment="1">
      <x:alignment horizontal="center"/>
    </x:xf>
    <x:xf numFmtId="4" fontId="5" fillId="3" borderId="4" xfId="1" applyNumberFormat="1" applyFont="1" applyFill="1" applyBorder="1" applyAlignment="1">
      <x:alignment horizontal="center"/>
    </x:xf>
    <x:xf numFmtId="165" fontId="5" fillId="3" borderId="4" xfId="1" applyNumberFormat="1" applyFont="1" applyFill="1" applyBorder="1" applyAlignment="1">
      <x:alignment horizontal="center"/>
    </x:xf>
    <x:xf numFmtId="164" fontId="3" fillId="7" borderId="5" xfId="1" applyNumberFormat="1" applyFont="1" applyFill="1" applyBorder="1" applyAlignment="1">
      <x:alignment horizontal="center" vertical="top" wrapText="1"/>
    </x:xf>
    <x:xf numFmtId="0" fontId="3" fillId="7" borderId="5" xfId="1" applyFont="1" applyFill="1" applyBorder="1" applyAlignment="1">
      <x:alignment vertical="top" wrapText="1"/>
    </x:xf>
    <x:xf numFmtId="4" fontId="3" fillId="7" borderId="5" xfId="1" applyNumberFormat="1" applyFont="1" applyFill="1" applyBorder="1" applyAlignment="1">
      <x:alignment horizontal="right" vertical="top" wrapText="1"/>
    </x:xf>
    <x:xf numFmtId="1" fontId="3" fillId="7" borderId="5" xfId="1" applyNumberFormat="1" applyFont="1" applyFill="1" applyBorder="1" applyAlignment="1">
      <x:alignment horizontal="right" vertical="top" wrapText="1"/>
    </x:xf>
    <x:xf numFmtId="0" fontId="2" fillId="2" borderId="6" xfId="1" applyFont="1" applyFill="1" applyBorder="1"/>
    <x:xf numFmtId="49" fontId="5" fillId="3" borderId="4" xfId="1" applyNumberFormat="1" applyFont="1" applyFill="1" applyBorder="1" applyAlignment="1">
      <x:alignment horizontal="right"/>
    </x:xf>
    <x:xf numFmtId="0" fontId="2" fillId="5" borderId="7" xfId="1" applyFont="1" applyFill="1" applyBorder="1" applyAlignment="1">
      <x:alignment horizontal="center" vertical="center" wrapText="1"/>
    </x:xf>
    <x:xf numFmtId="4" fontId="5" fillId="3" borderId="4" xfId="1" applyNumberFormat="1" applyFont="1" applyFill="1" applyBorder="1" applyAlignment="1">
      <x:alignment horizontal="right"/>
    </x:xf>
    <x:xf numFmtId="0" fontId="3" fillId="0" borderId="1" xfId="1" applyFont="1" applyBorder="1" applyAlignment="1">
      <x:alignment vertical="top" wrapText="1"/>
    </x:xf>
    <x:xf numFmtId="4" fontId="3" fillId="0" borderId="1" xfId="1" applyNumberFormat="1" applyFont="1" applyBorder="1" applyAlignment="1">
      <x:alignment vertical="top" wrapText="1"/>
    </x:xf>
    <x:xf numFmtId="166" fontId="3" fillId="0" borderId="1" xfId="1" applyNumberFormat="1" applyFont="1" applyBorder="1" applyAlignment="1">
      <x:alignment vertical="top" wrapText="1"/>
    </x:xf>
    <x:xf numFmtId="165" fontId="5" fillId="3" borderId="4" xfId="1" applyNumberFormat="1" applyFont="1" applyFill="1" applyBorder="1" applyAlignment="1">
      <x:alignment horizontal="right"/>
    </x:xf>
    <x:xf numFmtId="0" fontId="5" fillId="4" borderId="1" xfId="1" applyFont="1" applyFill="1" applyBorder="1" applyAlignment="1">
      <x:alignment vertical="top"/>
    </x:xf>
    <x:xf numFmtId="165" fontId="3" fillId="0" borderId="1" xfId="1" applyNumberFormat="1" applyFont="1" applyBorder="1" applyAlignment="1">
      <x:alignment vertical="top" wrapText="1"/>
    </x:xf>
    <x:xf numFmtId="49" fontId="5" fillId="3" borderId="4" xfId="1" applyNumberFormat="1" applyFont="1" applyFill="1" applyBorder="1"/>
    <x:xf numFmtId="0" fontId="5" fillId="3" borderId="4" xfId="1" applyFont="1" applyFill="1" applyBorder="1"/>
    <x:xf numFmtId="4" fontId="5" fillId="3" borderId="4" xfId="1" applyNumberFormat="1" applyFont="1" applyFill="1" applyBorder="1"/>
    <x:xf numFmtId="165" fontId="5" fillId="3" borderId="4" xfId="1" applyNumberFormat="1" applyFont="1" applyFill="1" applyBorder="1"/>
    <x:xf numFmtId="164" fontId="3" fillId="0" borderId="1" xfId="1" applyNumberFormat="1" applyFont="1" applyBorder="1" applyAlignment="1">
      <x:alignment horizontal="center" vertical="top" wrapText="1"/>
    </x:xf>
    <x:xf numFmtId="4" fontId="3" fillId="0" borderId="1" xfId="1" applyNumberFormat="1" applyFont="1" applyBorder="1" applyAlignment="1">
      <x:alignment horizontal="right" vertical="top" wrapText="1"/>
    </x:xf>
    <x:xf numFmtId="4" fontId="3" fillId="7" borderId="27" xfId="1" applyNumberFormat="1" applyFont="1" applyFill="1" applyBorder="1" applyAlignment="1">
      <x:alignment horizontal="right" vertical="top" wrapText="1"/>
    </x:xf>
    <x:xf numFmtId="164" fontId="3" fillId="7" borderId="28" xfId="1" applyNumberFormat="1" applyFont="1" applyFill="1" applyBorder="1" applyAlignment="1">
      <x:alignment horizontal="center" vertical="top" wrapText="1"/>
    </x:xf>
    <x:xf numFmtId="0" fontId="3" fillId="7" borderId="28" xfId="1" applyFont="1" applyFill="1" applyBorder="1" applyAlignment="1">
      <x:alignment vertical="top" wrapText="1"/>
    </x:xf>
    <x:xf numFmtId="4" fontId="3" fillId="7" borderId="28" xfId="1" applyNumberFormat="1" applyFont="1" applyFill="1" applyBorder="1" applyAlignment="1">
      <x:alignment horizontal="right" vertical="top" wrapText="1"/>
    </x:xf>
    <x:xf numFmtId="0" fontId="1" fillId="2" borderId="0" xfId="1" applyFont="1" applyFill="1" applyAlignment="1">
      <x:alignment vertical="center"/>
    </x:xf>
    <x:xf numFmtId="0" fontId="4" fillId="3" borderId="0" xfId="1" applyFont="1" applyFill="1" applyAlignment="1">
      <x:alignment vertical="center" wrapText="1"/>
    </x:xf>
    <x:xf numFmtId="164" fontId="5" fillId="7" borderId="24" xfId="1" applyNumberFormat="1" applyFont="1" applyFill="1" applyBorder="1" applyAlignment="1">
      <x:alignment horizontal="left" vertical="center"/>
    </x:xf>
    <x:xf numFmtId="164" fontId="5" fillId="7" borderId="25" xfId="1" applyNumberFormat="1" applyFont="1" applyFill="1" applyBorder="1" applyAlignment="1">
      <x:alignment horizontal="left" vertical="center"/>
    </x:xf>
    <x:xf numFmtId="164" fontId="5" fillId="7" borderId="26" xfId="1" applyNumberFormat="1" applyFont="1" applyFill="1" applyBorder="1" applyAlignment="1">
      <x:alignment horizontal="left" vertical="center"/>
    </x:xf>
    <x:xf numFmtId="0" fontId="3" fillId="0" borderId="1" xfId="1" applyFont="1" applyBorder="1" applyAlignment="1">
      <x:alignment vertical="top" wrapText="1"/>
    </x:xf>
    <x:xf numFmtId="0" fontId="2" fillId="8" borderId="0" xfId="1" applyFont="1" applyFill="1" applyAlignment="1">
      <x:alignment vertical="center"/>
    </x:xf>
    <x:xf numFmtId="0" fontId="3" fillId="0" borderId="21" xfId="1" applyFont="1" applyBorder="1" applyAlignment="1">
      <x:alignment wrapText="1"/>
    </x:xf>
    <x:xf numFmtId="0" fontId="3" fillId="0" borderId="22" xfId="1" applyFont="1" applyBorder="1" applyAlignment="1">
      <x:alignment wrapText="1"/>
    </x:xf>
    <x:xf numFmtId="0" fontId="3" fillId="0" borderId="23" xfId="1" applyFont="1" applyBorder="1" applyAlignment="1">
      <x:alignment wrapText="1"/>
    </x:xf>
    <x:xf numFmtId="0" fontId="3" fillId="9" borderId="8" xfId="1" applyFont="1" applyFill="1" applyBorder="1" applyAlignment="1">
      <x:alignment vertical="top" wrapText="1"/>
    </x:xf>
    <x:xf numFmtId="0" fontId="3" fillId="9" borderId="9" xfId="1" applyFont="1" applyFill="1" applyBorder="1" applyAlignment="1">
      <x:alignment vertical="top" wrapText="1"/>
    </x:xf>
    <x:xf numFmtId="0" fontId="3" fillId="9" borderId="10" xfId="1" applyFont="1" applyFill="1" applyBorder="1" applyAlignment="1">
      <x:alignment vertical="top" wrapText="1"/>
    </x:xf>
    <x:xf numFmtId="0" fontId="3" fillId="9" borderId="11" xfId="1" applyFont="1" applyFill="1" applyBorder="1" applyAlignment="1">
      <x:alignment vertical="top" wrapText="1"/>
    </x:xf>
    <x:xf numFmtId="0" fontId="3" fillId="9" borderId="0" xfId="1" applyFont="1" applyFill="1" applyAlignment="1">
      <x:alignment vertical="top" wrapText="1"/>
    </x:xf>
    <x:xf numFmtId="0" fontId="3" fillId="9" borderId="12" xfId="1" applyFont="1" applyFill="1" applyBorder="1" applyAlignment="1">
      <x:alignment vertical="top" wrapText="1"/>
    </x:xf>
    <x:xf numFmtId="0" fontId="3" fillId="9" borderId="13" xfId="1" applyFont="1" applyFill="1" applyBorder="1" applyAlignment="1">
      <x:alignment vertical="top" wrapText="1"/>
    </x:xf>
    <x:xf numFmtId="0" fontId="3" fillId="9" borderId="14" xfId="1" applyFont="1" applyFill="1" applyBorder="1" applyAlignment="1">
      <x:alignment vertical="top" wrapText="1"/>
    </x:xf>
    <x:xf numFmtId="0" fontId="3" fillId="9" borderId="15" xfId="1" applyFont="1" applyFill="1" applyBorder="1" applyAlignment="1">
      <x:alignment vertical="top" wrapText="1"/>
    </x:xf>
    <x:xf numFmtId="0" fontId="5" fillId="4" borderId="16" xfId="1" applyFont="1" applyFill="1" applyBorder="1" applyAlignment="1">
      <x:alignment wrapText="1"/>
    </x:xf>
    <x:xf numFmtId="0" fontId="5" fillId="4" borderId="17" xfId="1" applyFont="1" applyFill="1" applyBorder="1" applyAlignment="1">
      <x:alignment wrapText="1"/>
    </x:xf>
    <x:xf numFmtId="0" fontId="5" fillId="4" borderId="18" xfId="1" applyFont="1" applyFill="1" applyBorder="1" applyAlignment="1">
      <x:alignment wrapText="1"/>
    </x:xf>
    <x:xf numFmtId="0" fontId="3" fillId="0" borderId="19" xfId="1" applyFont="1" applyBorder="1" applyAlignment="1">
      <x:alignment wrapText="1"/>
    </x:xf>
    <x:xf numFmtId="0" fontId="3" fillId="0" borderId="0" xfId="1" applyFont="1" applyAlignment="1">
      <x:alignment wrapText="1"/>
    </x:xf>
    <x:xf numFmtId="0" fontId="3" fillId="0" borderId="20" xfId="1" applyFont="1" applyBorder="1" applyAlignment="1">
      <x:alignment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9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/>
    <x:xf numFmtId="0" fontId="10" fillId="0" borderId="3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10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horizontal="right" vertical="center" wrapText="1"/>
    </x:xf>
    <x:xf numFmtId="0" fontId="10" fillId="0" borderId="0" xfId="0" applyNumberFormat="1" applyFont="1" applyFill="1" applyBorder="1"/>
    <x:xf numFmtId="0" fontId="12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0" fillId="0" borderId="29" xfId="0" applyNumberFormat="1" applyFont="1" applyFill="1" applyBorder="1" applyAlignment="1">
      <x:alignment horizontal="left" vertical="center" wrapText="1"/>
    </x:xf>
    <x:xf numFmtId="0" fontId="10" fillId="0" borderId="29" xfId="0" applyNumberFormat="1" applyFont="1" applyFill="1" applyBorder="1" applyAlignment="1">
      <x:alignment vertical="center" wrapText="1"/>
    </x:xf>
    <x:xf numFmtId="0" fontId="10" fillId="0" borderId="29" xfId="0" applyNumberFormat="1" applyFont="1" applyFill="1" applyBorder="1" applyAlignment="1">
      <x:alignment horizontal="right" vertical="center" wrapText="1"/>
    </x:xf>
    <x:xf numFmtId="0" fontId="12" fillId="0" borderId="29" xfId="0" applyNumberFormat="1" applyFont="1" applyFill="1" applyBorder="1" applyAlignment="1">
      <x:alignment vertical="center" wrapText="1"/>
    </x:xf>
    <x:xf numFmtId="0" fontId="13" fillId="0" borderId="29" xfId="0" applyNumberFormat="1" applyFont="1" applyFill="1" applyBorder="1" applyAlignment="1">
      <x:alignment vertical="center" wrapText="1"/>
    </x:xf>
    <x:xf numFmtId="0" fontId="14" fillId="0" borderId="29" xfId="0" applyNumberFormat="1" applyFont="1" applyFill="1" applyBorder="1" applyAlignment="1">
      <x:alignment vertical="center" wrapText="1"/>
    </x:xf>
    <x:xf numFmtId="0" fontId="12" fillId="0" borderId="29" xfId="0" applyNumberFormat="1" applyFont="1" applyFill="1" applyBorder="1" applyAlignment="1">
      <x:alignment horizontal="right" vertical="center" wrapText="1"/>
    </x:xf>
    <x:xf numFmtId="0" fontId="15" fillId="0" borderId="0" xfId="0" applyNumberFormat="1" applyFont="1" applyFill="1" applyBorder="1"/>
    <x:xf numFmtId="0" fontId="15" fillId="0" borderId="3" xfId="0" applyNumberFormat="1" applyFont="1" applyFill="1" applyBorder="1"/>
    <x:xf numFmtId="0" fontId="15" fillId="10" borderId="3" xfId="0" applyNumberFormat="1" applyFont="1" applyFill="1" applyBorder="1"/>
    <x:xf numFmtId="0" fontId="15" fillId="10" borderId="3" xfId="0" applyNumberFormat="1" applyFont="1" applyFill="1" applyBorder="1" applyAlignment="1">
      <x:alignment horizontal="right"/>
    </x:xf>
  </x:cellXfs>
  <x:cellStyles count="2">
    <x:cellStyle name="Normal" xfId="1"/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b06029b5746ac" /><Relationship Type="http://schemas.openxmlformats.org/officeDocument/2006/relationships/theme" Target="/xl/theme/theme1.xml" Id="R9cdd7189ba0c41da" /><Relationship Type="http://schemas.openxmlformats.org/officeDocument/2006/relationships/sharedStrings" Target="/xl/sharedStrings.xml" Id="Rf835ae98ec37474d" /><Relationship Type="http://schemas.openxmlformats.org/officeDocument/2006/relationships/worksheet" Target="/xl/worksheets/sheet1.xml" Id="R3e041fd721414ba3" /><Relationship Type="http://schemas.openxmlformats.org/officeDocument/2006/relationships/worksheet" Target="/xl/worksheets/sheet2.xml" Id="Ra590136cdea24882" /><Relationship Type="http://schemas.openxmlformats.org/officeDocument/2006/relationships/worksheet" Target="/xl/worksheets/sheet3.xml" Id="R0827a8f537b34eee" /><Relationship Type="http://schemas.openxmlformats.org/officeDocument/2006/relationships/worksheet" Target="/xl/worksheets/sheet4.xml" Id="R2bc5fc995fb94992" /><Relationship Type="http://schemas.openxmlformats.org/officeDocument/2006/relationships/worksheet" Target="/xl/worksheets/sheet5.xml" Id="Rb291cc415a9b4567" /><Relationship Type="http://schemas.microsoft.com/office/2017/10/relationships/person" Target="/xl/persons/person.xml" Id="R4fab47270d9c427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Maria" id="{C2D4D278-D819-4005-BA9E-5C9D2507D5B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6-21T16:08:05.17" personId="{C2D4D278-D819-4005-BA9E-5C9D2507D5BD}" id="{F89CCBA1-22E2-0630-CC26-592B42192A4E}">
    <xltc:text>Stundensatz aus Screenshot abgeleitet. Nach Aufnahme der finalen QR-Gegenüberstellungs-Aufbereitung: 10,30 Stunden x 85 EUR = 875,50 EUR.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2" dT="2026-06-21T16:08:05.19" personId="{C2D4D278-D819-4005-BA9E-5C9D2507D5BD}" id="{2B2BB1D6-85B9-DF64-B7ED-40D15F2D7BEE}">
    <xltc:text>Ehrliche Einordnung: Der QR-Anteil ist plausibel, weil ein konkretes Arbeitsergebnis vorliegt: /Users/mariaake/Documents/CMC/outputs/CMC_QR_Tool_Gegenueberstellung.xlsx.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0320d3cabaf4256" /><Relationship Type="http://schemas.openxmlformats.org/officeDocument/2006/relationships/vmlDrawing" Target="/xl/drawings/vmldrawing.vml" Id="Rfe1ca16a91ef4e86" /><Relationship Type="http://schemas.microsoft.com/office/2017/10/relationships/threadedComment" Target="/xl/threadedcomments/threadedcomment.xml" Id="Rc9a3c6c1519d4829" /><Relationship Type="http://schemas.openxmlformats.org/officeDocument/2006/relationships/drawing" Target="/xl/drawings/drawing1.xml" Id="R58636bfff4e448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5cbab1c6ebc848ea" /><Relationship Type="http://schemas.openxmlformats.org/officeDocument/2006/relationships/vmlDrawing" Target="/xl/drawings/vmldrawing2.vml" Id="Ra004f3d953784de4" /><Relationship Type="http://schemas.microsoft.com/office/2017/10/relationships/threadedComment" Target="/xl/threadedcomments/threadedcomment2.xml" Id="R0767479b91524de2" /><Relationship Type="http://schemas.openxmlformats.org/officeDocument/2006/relationships/drawing" Target="/xl/drawings/drawing2.xml" Id="Rdd36aa8582e4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44" customWidth="1"/>
    <x:col min="4" max="4" width="28" customWidth="1"/>
    <x:col min="5" max="6" width="22" customWidth="1"/>
  </x:cols>
  <x:sheetData>
    <x:row r="1" ht="28.5" customHeight="1">
      <x:c r="A1" s="44" t="s">
        <x:v>0</x:v>
      </x:c>
      <x:c r="B1" s="44" t="s">
        <x:v>0</x:v>
      </x:c>
      <x:c r="C1" s="44" t="s">
        <x:v>0</x:v>
      </x:c>
      <x:c r="D1" s="44" t="s">
        <x:v>0</x:v>
      </x:c>
      <x:c r="E1" s="44" t="s">
        <x:v>0</x:v>
      </x:c>
      <x:c r="F1" s="44" t="s">
        <x:v>0</x:v>
      </x:c>
      <x:c r="G1" s="1"/>
      <x:c r="H1" s="1"/>
    </x:row>
    <x:row r="2" ht="25.5" customHeight="1">
      <x:c r="A2" s="45" t="s">
        <x:v>1</x:v>
      </x:c>
      <x:c r="B2" s="45" t="s">
        <x:v>1</x:v>
      </x:c>
      <x:c r="C2" s="45" t="s">
        <x:v>1</x:v>
      </x:c>
      <x:c r="D2" s="45" t="s">
        <x:v>1</x:v>
      </x:c>
      <x:c r="E2" s="45" t="s">
        <x:v>1</x:v>
      </x:c>
      <x:c r="F2" s="45" t="s">
        <x:v>1</x:v>
      </x:c>
      <x:c r="G2" s="45" t="s">
        <x:v>1</x:v>
      </x:c>
      <x:c r="H2" s="45" t="s">
        <x:v>1</x:v>
      </x:c>
    </x:row>
    <x:row r="3" ht="15">
      <x:c r="A3" s="1"/>
      <x:c r="B3" s="1"/>
      <x:c r="C3" s="1"/>
      <x:c r="D3" s="1"/>
      <x:c r="E3" s="1"/>
      <x:c r="F3" s="1"/>
      <x:c r="G3" s="1"/>
      <x:c r="H3" s="1"/>
    </x:row>
    <x:row r="4" ht="15">
      <x:c r="A4" s="2" t="s">
        <x:v>2</x:v>
      </x:c>
      <x:c r="B4" s="3">
        <x:v>46174</x:v>
      </x:c>
      <x:c r="C4" s="1"/>
      <x:c r="D4" s="4" t="s">
        <x:v>3</x:v>
      </x:c>
      <x:c r="E4" s="4" t="s">
        <x:v>4</x:v>
      </x:c>
      <x:c r="F4" s="4" t="s">
        <x:v>5</x:v>
      </x:c>
      <x:c r="G4" s="1"/>
      <x:c r="H4" s="1"/>
    </x:row>
    <x:row r="5" ht="15">
      <x:c r="A5" s="2" t="s">
        <x:v>6</x:v>
      </x:c>
      <x:c r="B5" s="5">
        <x:v>85</x:v>
      </x:c>
      <x:c r="C5" s="1"/>
      <x:c r="D5" s="6" t="s">
        <x:v>7</x:v>
      </x:c>
      <x:c r="E5" s="6" t="s">
        <x:v>8</x:v>
      </x:c>
      <x:c r="F5" s="6" t="str">
        <x:f>CHOOSE(MONTH(B4),"Januar","Februar","März","April","Mai","Juni","Juli","August","September","Oktober","November","Dezember")&amp;" "&amp;YEAR(B4)</x:f>
        <x:v>Juni 2026</x:v>
      </x:c>
      <x:c r="G5" s="1"/>
      <x:c r="H5" s="1"/>
    </x:row>
    <x:row r="6" ht="15">
      <x:c r="A6" s="2" t="s">
        <x:v>9</x:v>
      </x:c>
      <x:c r="B6" s="7" t="s">
        <x:v>10</x:v>
      </x:c>
      <x:c r="C6" s="1"/>
      <x:c r="D6" s="6" t="s">
        <x:v>11</x:v>
      </x:c>
      <x:c r="E6" s="6" t="s">
        <x:v>12</x:v>
      </x:c>
      <x:c r="F6" s="6"/>
      <x:c r="G6" s="1"/>
      <x:c r="H6" s="1"/>
    </x:row>
    <x:row r="7" ht="15">
      <x:c r="A7" s="2" t="s">
        <x:v>13</x:v>
      </x:c>
      <x:c r="B7" s="7" t="s">
        <x:v>14</x:v>
      </x:c>
      <x:c r="C7" s="1"/>
      <x:c r="D7" s="6" t="s">
        <x:v>15</x:v>
      </x:c>
      <x:c r="E7" s="6" t="s">
        <x:v>16</x:v>
      </x:c>
      <x:c r="F7" s="6"/>
      <x:c r="G7" s="1"/>
      <x:c r="H7" s="1"/>
    </x:row>
    <x:row r="8" ht="15">
      <x:c r="A8" s="2" t="s">
        <x:v>17</x:v>
      </x:c>
      <x:c r="B8" s="7" t="s">
        <x:v>18</x:v>
      </x:c>
      <x:c r="C8" s="1"/>
      <x:c r="D8" s="6" t="s">
        <x:v>19</x:v>
      </x:c>
      <x:c r="E8" s="6"/>
      <x:c r="F8" s="6"/>
      <x:c r="G8" s="1"/>
      <x:c r="H8" s="1"/>
    </x:row>
    <x:row r="9" ht="15">
      <x:c r="A9" s="2" t="s">
        <x:v>20</x:v>
      </x:c>
      <x:c r="B9" s="7">
        <x:v>200</x:v>
      </x:c>
      <x:c r="C9" s="1"/>
      <x:c r="D9" s="6" t="s">
        <x:v>21</x:v>
      </x:c>
      <x:c r="E9" s="6"/>
      <x:c r="F9" s="6"/>
      <x:c r="G9" s="1"/>
      <x:c r="H9" s="1"/>
    </x:row>
    <x:row r="10" ht="30">
      <x:c r="A10" s="2" t="s">
        <x:v>22</x:v>
      </x:c>
      <x:c r="B10" s="7" t="s">
        <x:v>23</x:v>
      </x:c>
      <x:c r="C10" s="1"/>
      <x:c r="D10" s="1"/>
      <x:c r="E10" s="1"/>
      <x:c r="F10" s="1"/>
      <x:c r="G10" s="1"/>
      <x:c r="H10" s="1"/>
    </x:row>
    <x:row r="11" ht="15">
      <x:c r="A11" s="2" t="s">
        <x:v>24</x:v>
      </x:c>
      <x:c r="B11" s="7" t="s">
        <x:v>25</x:v>
      </x:c>
      <x:c r="C11" s="1"/>
      <x:c r="D11" s="1"/>
      <x:c r="E11" s="1"/>
      <x:c r="F11" s="1"/>
      <x:c r="G11" s="1"/>
      <x:c r="H11" s="1"/>
    </x:row>
  </x:sheetData>
  <x:mergeCells>
    <x:mergeCell ref="A1:F1"/>
    <x:mergeCell ref="A2:H2"/>
  </x:mergeCells>
  <x:pageMargins left="0.7" right="0.7" top="0.75" bottom="0.75" header="0.3" footer="0.3"/>
  <x:drawing xmlns:r="http://schemas.openxmlformats.org/officeDocument/2006/relationships" r:id="R58636bfff4e44823"/>
  <x:legacyDrawing xmlns:r="http://schemas.openxmlformats.org/officeDocument/2006/relationships" r:id="Rfe1ca16a91ef4e8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3" hidden="0" customWidth="1"/>
    <x:col min="2" max="2" width="92" hidden="0" customWidth="1"/>
    <x:col min="3" max="3" width="18" hidden="0" customWidth="1"/>
    <x:col min="4" max="4" width="3" hidden="0" customWidth="1"/>
    <x:col min="5" max="5" width="16" hidden="0" customWidth="1"/>
  </x:cols>
  <x:sheetData>
    <x:row r="1" ht="52" customHeight="1">
      <x:c r="A1" s="71" t="str">
        <x:v>Datum</x:v>
      </x:c>
      <x:c r="B1" s="71" t="str">
        <x:v>Aufgabe</x:v>
      </x:c>
      <x:c r="C1" s="71" t="str">
        <x:v>Arbeitszeit
(Stunden)</x:v>
      </x:c>
      <x:c r="D1" s="1"/>
      <x:c r="E1" s="1"/>
    </x:row>
    <x:row r="2" ht="54" customHeight="1">
      <x:c r="A2" s="87" t="str">
        <x:v>17. Juni 2026</x:v>
      </x:c>
      <x:c r="B2" s="91" t="str">
        <x:v>QR Code: 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x:v>
      </x:c>
      <x:c r="C2" s="89" t="str">
        <x:v>3,15</x:v>
      </x:c>
      <x:c r="D2" s="1"/>
      <x:c r="E2" s="1"/>
    </x:row>
    <x:row r="3" ht="54" customHeight="1">
      <x:c r="A3" s="87" t="str">
        <x:v>18. Juni 2026</x:v>
      </x:c>
      <x:c r="B3" s="91" t="str">
        <x:v>Technisches Setup: 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x:v>
      </x:c>
      <x:c r="C3" s="89" t="str">
        <x:v>0,75</x:v>
      </x:c>
      <x:c r="D3" s="1"/>
      <x:c r="E3" s="1"/>
    </x:row>
    <x:row r="4" ht="54" customHeight="1">
      <x:c r="A4" s="87" t="str">
        <x:v>18. Juni 2026</x:v>
      </x:c>
      <x:c r="B4" s="91" t="str">
        <x:v>QR Code: 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x:v>
      </x:c>
      <x:c r="C4" s="89" t="str">
        <x:v>1,50</x:v>
      </x:c>
      <x:c r="D4" s="1"/>
      <x:c r="E4" s="1"/>
    </x:row>
    <x:row r="5" ht="54" customHeight="1">
      <x:c r="A5" s="87" t="str">
        <x:v>18. Juni 2026</x:v>
      </x:c>
      <x:c r="B5" s="91" t="str">
        <x:v>Asana / Monday: Projektplan Migration Monday zu Asana: Aufsetzen eines ersten Projektplan-Rahmens für die Ablösung von Monday durch Asana inklusive erster Sichtung der Asana Features.</x:v>
      </x:c>
      <x:c r="C5" s="89" t="str">
        <x:v>0,50</x:v>
      </x:c>
      <x:c r="D5" s="1"/>
      <x:c r="E5" s="1"/>
    </x:row>
    <x:row r="6" ht="54" customHeight="1">
      <x:c r="A6" s="87" t="str">
        <x:v>19. Juni 2026</x:v>
      </x:c>
      <x:c r="B6" s="91" t="str">
        <x:v>Asana / Monday: 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x:v>
      </x:c>
      <x:c r="C6" s="89" t="str">
        <x:v>1,15</x:v>
      </x:c>
      <x:c r="D6" s="1"/>
      <x:c r="E6" s="1"/>
    </x:row>
    <x:row r="7" ht="54" customHeight="1">
      <x:c r="A7" s="87" t="str">
        <x:v>20. Juni 2026</x:v>
      </x:c>
      <x:c r="B7" s="91" t="str">
        <x:v>QR Code: 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x:v>
      </x:c>
      <x:c r="C7" s="89" t="str">
        <x:v>2,75</x:v>
      </x:c>
      <x:c r="D7" s="1"/>
      <x:c r="E7" s="1"/>
    </x:row>
    <x:row r="8" ht="54" customHeight="1">
      <x:c r="A8" s="87" t="str">
        <x:v>21. Juni 2026</x:v>
      </x:c>
      <x:c r="B8" s="91" t="str">
        <x:v>QR Code: 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x:v>
      </x:c>
      <x:c r="C8" s="89" t="str">
        <x:v>0,50</x:v>
      </x:c>
      <x:c r="D8" s="1"/>
      <x:c r="E8" s="1"/>
    </x:row>
    <x:row r="9" ht="54" customHeight="1">
      <x:c r="A9" s="88" t="str">
        <x:v>23. Juni 2026</x:v>
      </x:c>
      <x:c r="B9" s="91" t="str">
        <x:v>QR Code: 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x:v>
      </x:c>
      <x:c r="C9" s="89" t="str">
        <x:v>1,20</x:v>
      </x:c>
      <x:c r="D9" s="1"/>
      <x:c r="E9" s="1"/>
    </x:row>
    <x:row r="10" ht="54" customHeight="1">
      <x:c r="A10" s="88" t="str">
        <x:v>24. Juni 2026</x:v>
      </x:c>
      <x:c r="B10" s="91" t="str">
        <x:v>Studie 2027: Abstimmung Testvarianten Studienkonzept: Abstimmung mit Jule, Simone und Cathleen zur Konzeption und Einordnung der vier vorgesehenen Testvarianten; Klärung zentraler Anforderungen, Variantenlogik und nächster Schritte für die weitere Studienplanung.</x:v>
      </x:c>
      <x:c r="C10" s="89" t="str">
        <x:v>1,00</x:v>
      </x:c>
      <x:c r="D10" s="1"/>
      <x:c r="E10" s="15"/>
    </x:row>
    <x:row r="11" ht="54" customHeight="1">
      <x:c r="A11" s="90" t="str">
        <x:v>24. Juni 2026</x:v>
      </x:c>
      <x:c r="B11" s="92" t="str">
        <x:v>Studie 2027: Einarbeitung Methodik und Studienunterlagen: Einarbeitung in das Studienthema, Recherche und fachliche Einordnung der verwendeten Methoden sowie Durcharbeitung der vorhandenen Präsentationsunterlagen zur Vorbereitung der weiteren konzeptionellen und inhaltlichen Ausarbeitung.</x:v>
      </x:c>
      <x:c r="C11" s="93" t="str">
        <x:v>1,60</x:v>
      </x:c>
    </x:row>
    <x:row r="12" ht="54" customHeight="1">
      <x:c r="A12" s="90" t="str">
        <x:v>24. Juni 2026</x:v>
      </x:c>
      <x:c r="B12" s="92" t="str">
        <x:v>Studie 2027: Briefing Präsentationsausarbeitung: Erstellung und Strukturierung eines Briefings für Cathleen zur weiteren Bearbeitung der Präsentation, inklusive Zusammenfassung relevanter Inhalte und Anforderungen für die nächste Ausarbeitungsschleife.</x:v>
      </x:c>
      <x:c r="C12" s="93" t="str">
        <x:v>0,50</x:v>
      </x:c>
    </x:row>
    <x:row r="13" ht="54" customHeight="1">
      <x:c r="A13" s="90" t="str">
        <x:v>25. Juni 2026</x:v>
      </x:c>
      <x:c r="B13" s="92" t="str">
        <x:v>Studie 2027: Finalisierung Briefing und Visualisierungstexte: Finalisierung des Briefings für Cathleen sowie Ausarbeitung und Präzisierung von Textvorschlägen und Visualisierungsansätzen für die Studienpräsentation.</x:v>
      </x:c>
      <x:c r="C13" s="93" t="str">
        <x:v>1,20</x:v>
      </x:c>
    </x:row>
    <x:row r="14" ht="54" customHeight="1">
      <x:c r="A14" s="90" t="str">
        <x:v>25. Juni 2026</x:v>
      </x:c>
      <x:c r="B14" s="92" t="str">
        <x:v>Studie 2027: Anfrage POSTWURFSPEZIAL: Vorbereitung und Formulierung der Anfrage zu POSTWURFSPEZIAL unter Berücksichtigung der für die Studienumsetzung relevanten Anforderungen und Abstimmungsbedarfe.</x:v>
      </x:c>
      <x:c r="C14" s="93" t="str">
        <x:v>0,60</x:v>
      </x:c>
    </x:row>
    <x:row r="15" ht="54" customHeight="1">
      <x:c r="A15" s="90" t="str">
        <x:v>25. Juni 2026</x:v>
      </x:c>
      <x:c r="B15" s="92" t="str">
        <x:v>Studie 2027: 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x:v>
      </x:c>
      <x:c r="C15" s="93" t="str">
        <x:v>2,15</x:v>
      </x:c>
    </x:row>
    <x:row r="16" ht="54" customHeight="1">
      <x:c r="A16" s="90" t="str">
        <x:v>25. Juni 2026</x:v>
      </x:c>
      <x:c r="B16" s="92" t="str">
        <x:v>Studie 2027: Klärung Pre-Test-Vorgehen: Klärung des geplanten Pre-Test-Vorgehens mit dem Team, einschließlich Abstimmung offener Punkte und Einordnung der nächsten Schritte für die weitere Studienvorbereitung.</x:v>
      </x:c>
      <x:c r="C16" s="93" t="str">
        <x:v>0,30</x:v>
      </x:c>
    </x:row>
    <x:row r="17" ht="54" customHeight="1">
      <x:c r="A17" s="90" t="str">
        <x:v>25. Juni 2026</x:v>
      </x:c>
      <x:c r="B17" s="92" t="str">
        <x:v>Studie 2027: Statusabfrage und Arbeitspaket-Update: Einholung aktueller Statusinformationen und Aktualisierung der Arbeitspakete bis zum 03.07.; Strukturierung der offenen Punkte und Nachverfolgung relevanter Zuständigkeiten.</x:v>
      </x:c>
      <x:c r="C17" s="93" t="str">
        <x:v>0,50</x:v>
      </x:c>
    </x:row>
    <x:row r="18" ht="54" customHeight="1">
      <x:c r="A18" s="90" t="str">
        <x:v>26. Juni 2026</x:v>
      </x:c>
      <x:c r="B18" s="92" t="str">
        <x:v>Studie 2027: Testskript und Zusammenfassung: Erstellung eines Skripts und Zusammenfassung der Inhalte als Testfassung für Jule und Simone, einschließlich Aufbereitung der relevanten Punkte für Prüfung, Feedback und weitere Abstimmung.</x:v>
      </x:c>
      <x:c r="C18" s="93" t="str">
        <x:v>1,55</x:v>
      </x:c>
    </x:row>
    <x:row r="19" ht="54" customHeight="1">
      <x:c r="A19" s="90" t="str">
        <x:v>26. Juni 2026</x:v>
      </x:c>
      <x:c r="B19" s="92" t="str">
        <x:v>Studie 2027: Vor- und Nachbereitung der Abstimmung mit Christina und der Termin mit Christina</x:v>
      </x:c>
      <x:c r="C19" s="93" t="str">
        <x:v>1,10</x:v>
      </x:c>
    </x:row>
    <x:row r="20" ht="54" customHeight="1">
      <x:c r="A20" s="90" t="str">
        <x:v>26. Juni 2026</x:v>
      </x:c>
      <x:c r="B20" s="92" t="str">
        <x:v>Studie 2027: Absprache mit Lone und Lisa zu Pre-test und stand der Todos bis Freitag</x:v>
      </x:c>
      <x:c r="C20" s="93" t="str">
        <x:v>0,70</x:v>
      </x:c>
    </x:row>
    <x:row r="21" ht="54" customHeight="1">
      <x:c r="A21" s="90" t="str">
        <x:v>26. Juni 2026</x:v>
      </x:c>
      <x:c r="B21" s="92" t="str">
        <x:v>Studie 2027: Review Präsentationsüberarbeitung von cathleen</x:v>
      </x:c>
      <x:c r="C21" s="93" t="str">
        <x:v>0,65</x:v>
      </x:c>
    </x:row>
    <x:row r="22" ht="54" customHeight="1">
      <x:c r="A22" s="90" t="str">
        <x:v>26. Juni 2026</x:v>
      </x:c>
      <x:c r="B22" s="92" t="str">
        <x:v>Studie 2027: Status Update einsammeln und aufbereiten, Ergbenisse anschauen und Rücksprachen</x:v>
      </x:c>
      <x:c r="C22" s="93" t="str">
        <x:v>0,75</x:v>
      </x:c>
    </x:row>
    <x:row r="23" ht="54" customHeight="1">
      <x:c r="A23" s="90" t="str">
        <x:v>26. Juni 2026</x:v>
      </x:c>
      <x:c r="B23" s="92" t="str">
        <x:v>Studie 2027: Auswertung Testlauf InDesign Skript</x:v>
      </x:c>
      <x:c r="C23" s="93" t="str">
        <x:v>1,20</x:v>
      </x:c>
    </x:row>
    <x:row r="24" ht="54" customHeight="1">
      <x:c r="A24" s="90" t="str">
        <x:v>27. Juni 2026</x:v>
      </x:c>
      <x:c r="B24" s="92" t="str">
        <x:v>Studie 2027: Zusammenfassung Ergebnisse des Skripttest und Vorbereitung des nächsten Skripttests</x:v>
      </x:c>
      <x:c r="C24" s="93" t="str">
        <x:v>1,00</x:v>
      </x:c>
    </x:row>
    <x:row r="25" ht="28" customHeight="1">
      <x:c r="A25" s="96"/>
      <x:c r="B25" s="96" t="str">
        <x:v>Summe Stunden Monat Juni 2026</x:v>
      </x:c>
      <x:c r="C25" s="97" t="str">
        <x:v>26,30</x:v>
      </x:c>
      <x:c r="D25" s="96"/>
      <x:c r="E25" s="97" t="str">
        <x:v>2.235,50 €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18" customWidth="1"/>
    <x:col min="3" max="3" width="30" hidden="1" customWidth="1"/>
    <x:col min="4" max="4" width="84" customWidth="1"/>
    <x:col min="5" max="6" width="12" customWidth="1"/>
    <x:col min="7" max="7" width="13" customWidth="1"/>
    <x:col min="8" max="8" width="8" customWidth="1"/>
    <x:col min="9" max="9" width="18" customWidth="1"/>
    <x:col min="10" max="10" width="22" customWidth="1"/>
    <x:col min="11" max="11" width="16" customWidth="1"/>
  </x:cols>
  <x:sheetData>
    <x:row r="1" ht="28.5" customHeight="1">
      <x:c r="A1" s="44" t="s">
        <x:v>26</x:v>
      </x:c>
      <x:c r="B1" s="44" t="s">
        <x:v>26</x:v>
      </x:c>
      <x:c r="C1" s="44" t="s">
        <x:v>26</x:v>
      </x:c>
      <x:c r="D1" s="44" t="s">
        <x:v>26</x:v>
      </x:c>
      <x:c r="E1" s="44" t="s">
        <x:v>26</x:v>
      </x:c>
      <x:c r="F1" s="44" t="s">
        <x:v>26</x:v>
      </x:c>
      <x:c r="G1" s="44" t="s">
        <x:v>26</x:v>
      </x:c>
      <x:c r="H1" s="44" t="s">
        <x:v>26</x:v>
      </x:c>
      <x:c r="I1" s="44" t="s">
        <x:v>26</x:v>
      </x:c>
      <x:c r="J1" s="44" t="s">
        <x:v>26</x:v>
      </x:c>
      <x:c r="K1" s="44" t="s">
        <x:v>26</x:v>
      </x:c>
    </x:row>
    <x:row r="2" ht="25.5" customHeight="1">
      <x:c r="A2" s="45" t="s">
        <x:v>27</x:v>
      </x:c>
      <x:c r="B2" s="45" t="s">
        <x:v>27</x:v>
      </x:c>
      <x:c r="C2" s="45" t="s">
        <x:v>27</x:v>
      </x:c>
      <x:c r="D2" s="45" t="s">
        <x:v>27</x:v>
      </x:c>
      <x:c r="E2" s="45" t="s">
        <x:v>27</x:v>
      </x:c>
      <x:c r="F2" s="45" t="s">
        <x:v>27</x:v>
      </x:c>
      <x:c r="G2" s="45" t="s">
        <x:v>27</x:v>
      </x:c>
      <x:c r="H2" s="45" t="s">
        <x:v>27</x:v>
      </x:c>
      <x:c r="I2" s="1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>
      <x:c r="A4" s="16" t="s">
        <x:v>28</x:v>
      </x:c>
      <x:c r="B4" s="16" t="s">
        <x:v>6</x:v>
      </x:c>
      <x:c r="D4" s="16" t="s">
        <x:v>29</x:v>
      </x:c>
      <x:c r="E4" s="16" t="s">
        <x:v>30</x:v>
      </x:c>
      <x:c r="F4" s="1"/>
      <x:c r="G4" s="1"/>
      <x:c r="H4" s="1"/>
      <x:c r="I4" s="1"/>
      <x:c r="J4" s="1"/>
      <x:c r="K4" s="1"/>
    </x:row>
    <x:row r="5" ht="15">
      <x:c r="A5" s="17" t="str">
        <x:f>Einstellungen!F5</x:f>
        <x:v>Juni 2026</x:v>
      </x:c>
      <x:c r="B5" s="18" t="n">
        <x:f>Einstellungen!B5</x:f>
        <x:v>85</x:v>
      </x:c>
      <x:c r="D5" s="18" t="n">
        <x:f>SUMIFS(E13:E212,A13:A212,"&gt;="&amp;Einstellungen!B4,A13:A212,"&lt;"&amp;DATE(YEAR(Einstellungen!B4),MONTH(Einstellungen!B4)+1,1))</x:f>
        <x:v>26.3</x:v>
      </x:c>
      <x:c r="E5" s="19" t="n">
        <x:f>SUMIFS(G13:G212,A13:A212,"&gt;="&amp;Einstellungen!B4,A13:A212,"&lt;"&amp;DATE(YEAR(Einstellungen!B4),MONTH(Einstellungen!B4)+1,1))</x:f>
        <x:v>2235.5</x:v>
      </x:c>
      <x:c r="F5" s="1"/>
      <x:c r="G5" s="1"/>
      <x:c r="H5" s="1"/>
      <x:c r="I5" s="1"/>
      <x:c r="J5" s="1"/>
      <x:c r="K5" s="1"/>
    </x:row>
    <x:row r="6" ht="15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15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15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15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15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>
      <x:c r="A12" s="9" t="s">
        <x:v>31</x:v>
      </x:c>
      <x:c r="B12" s="9" t="s">
        <x:v>32</x:v>
      </x:c>
      <x:c r="C12" s="9" t="s">
        <x:v>33</x:v>
      </x:c>
      <x:c r="D12" s="9" t="s">
        <x:v>34</x:v>
      </x:c>
      <x:c r="E12" s="9" t="s">
        <x:v>35</x:v>
      </x:c>
      <x:c r="F12" s="9" t="s">
        <x:v>6</x:v>
      </x:c>
      <x:c r="G12" s="9" t="s">
        <x:v>36</x:v>
      </x:c>
      <x:c r="H12" s="9" t="s">
        <x:v>37</x:v>
      </x:c>
      <x:c r="I12" s="9" t="s">
        <x:v>28</x:v>
      </x:c>
      <x:c r="J12" s="9" t="s">
        <x:v>38</x:v>
      </x:c>
      <x:c r="K12" s="9" t="s">
        <x:v>39</x:v>
      </x:c>
    </x:row>
    <x:row r="13" ht="54" customHeight="1">
      <x:c r="A13" s="20">
        <x:v>46190</x:v>
      </x:c>
      <x:c r="B13" s="21" t="s">
        <x:v>40</x:v>
      </x:c>
      <x:c r="C13" s="21" t="s">
        <x:v>41</x:v>
      </x:c>
      <x:c r="D13" s="21" t="s">
        <x:v>42</x:v>
      </x:c>
      <x:c r="E13" s="22">
        <x:v>3.15</x:v>
      </x:c>
      <x:c r="F13" s="22" t="n">
        <x:f>IF(A13="","",Einstellungen!$B$5)</x:f>
        <x:v>85</x:v>
      </x:c>
      <x:c r="G13" s="22" t="n">
        <x:f t="shared" ref="G13:G44" si="0">IF(E13="","",E13*F13)</x:f>
        <x:v>267.75</x:v>
      </x:c>
      <x:c r="H13" s="23" t="n">
        <x:f t="shared" ref="H13:H44" si="1">IF(A13="","",WEEKNUM(A13,21))</x:f>
        <x:v>25</x:v>
      </x:c>
      <x:c r="I13" s="21" t="str">
        <x:f t="shared" ref="I13:I44" si="2">IF(A13="","",CHOOSE(MONTH(A13),"Januar","Februar","März","April","Mai","Juni","Juli","August","September","Oktober","November","Dezember")&amp;" "&amp;YEAR(A13))</x:f>
        <x:v>Juni 2026</x:v>
      </x:c>
      <x:c r="J13" s="21" t="s">
        <x:v>7</x:v>
      </x:c>
      <x:c r="K13" s="21" t="s">
        <x:v>16</x:v>
      </x:c>
    </x:row>
    <x:row r="14" ht="54" customHeight="1">
      <x:c r="A14" s="20">
        <x:v>46191</x:v>
      </x:c>
      <x:c r="B14" s="21" t="s">
        <x:v>43</x:v>
      </x:c>
      <x:c r="C14" s="21" t="s">
        <x:v>44</x:v>
      </x:c>
      <x:c r="D14" s="21" t="s">
        <x:v>45</x:v>
      </x:c>
      <x:c r="E14" s="22">
        <x:v>0.75</x:v>
      </x:c>
      <x:c r="F14" s="22" t="n">
        <x:f>IF(A14="","",Einstellungen!$B$5)</x:f>
        <x:v>85</x:v>
      </x:c>
      <x:c r="G14" s="22">
        <x:f t="shared" si="0"/>
        <x:v>63.75</x:v>
      </x:c>
      <x:c r="H14" s="23">
        <x:f t="shared" si="1"/>
        <x:v>25</x:v>
      </x:c>
      <x:c r="I14" s="21" t="str">
        <x:f t="shared" si="2"/>
        <x:v>Juni 2026</x:v>
      </x:c>
      <x:c r="J14" s="21" t="s">
        <x:v>19</x:v>
      </x:c>
      <x:c r="K14" s="21" t="s">
        <x:v>16</x:v>
      </x:c>
    </x:row>
    <x:row r="15" ht="54" customHeight="1">
      <x:c r="A15" s="20">
        <x:v>46191</x:v>
      </x:c>
      <x:c r="B15" s="21" t="s">
        <x:v>40</x:v>
      </x:c>
      <x:c r="C15" s="21" t="s">
        <x:v>46</x:v>
      </x:c>
      <x:c r="D15" s="21" t="s">
        <x:v>47</x:v>
      </x:c>
      <x:c r="E15" s="22">
        <x:v>1.5</x:v>
      </x:c>
      <x:c r="F15" s="22" t="n">
        <x:f>IF(A15="","",Einstellungen!$B$5)</x:f>
        <x:v>85</x:v>
      </x:c>
      <x:c r="G15" s="22">
        <x:f t="shared" si="0"/>
        <x:v>127.5</x:v>
      </x:c>
      <x:c r="H15" s="23">
        <x:f t="shared" si="1"/>
        <x:v>25</x:v>
      </x:c>
      <x:c r="I15" s="21" t="str">
        <x:f t="shared" si="2"/>
        <x:v>Juni 2026</x:v>
      </x:c>
      <x:c r="J15" s="21" t="s">
        <x:v>11</x:v>
      </x:c>
      <x:c r="K15" s="21" t="s">
        <x:v>16</x:v>
      </x:c>
    </x:row>
    <x:row r="16" ht="54" customHeight="1">
      <x:c r="A16" s="20">
        <x:v>46191</x:v>
      </x:c>
      <x:c r="B16" s="21" t="s">
        <x:v>48</x:v>
      </x:c>
      <x:c r="C16" s="21" t="s">
        <x:v>49</x:v>
      </x:c>
      <x:c r="D16" s="21" t="s">
        <x:v>50</x:v>
      </x:c>
      <x:c r="E16" s="22">
        <x:v>0.5</x:v>
      </x:c>
      <x:c r="F16" s="22" t="n">
        <x:f>IF(A16="","",Einstellungen!$B$5)</x:f>
        <x:v>85</x:v>
      </x:c>
      <x:c r="G16" s="22">
        <x:f t="shared" si="0"/>
        <x:v>42.5</x:v>
      </x:c>
      <x:c r="H16" s="23">
        <x:f t="shared" si="1"/>
        <x:v>25</x:v>
      </x:c>
      <x:c r="I16" s="21" t="str">
        <x:f t="shared" si="2"/>
        <x:v>Juni 2026</x:v>
      </x:c>
      <x:c r="J16" s="21" t="s">
        <x:v>15</x:v>
      </x:c>
      <x:c r="K16" s="21" t="s">
        <x:v>8</x:v>
      </x:c>
    </x:row>
    <x:row r="17" ht="54" customHeight="1">
      <x:c r="A17" s="20">
        <x:v>46192</x:v>
      </x:c>
      <x:c r="B17" s="21" t="s">
        <x:v>48</x:v>
      </x:c>
      <x:c r="C17" s="21" t="s">
        <x:v>51</x:v>
      </x:c>
      <x:c r="D17" s="21" t="s">
        <x:v>52</x:v>
      </x:c>
      <x:c r="E17" s="22">
        <x:v>1.1499999999999999</x:v>
      </x:c>
      <x:c r="F17" s="22" t="n">
        <x:f>IF(A17="","",Einstellungen!$B$5)</x:f>
        <x:v>85</x:v>
      </x:c>
      <x:c r="G17" s="22">
        <x:f t="shared" si="0"/>
        <x:v>97.749999999999986</x:v>
      </x:c>
      <x:c r="H17" s="23">
        <x:f t="shared" si="1"/>
        <x:v>25</x:v>
      </x:c>
      <x:c r="I17" s="21" t="str">
        <x:f t="shared" si="2"/>
        <x:v>Juni 2026</x:v>
      </x:c>
      <x:c r="J17" s="21" t="s">
        <x:v>7</x:v>
      </x:c>
      <x:c r="K17" s="21" t="s">
        <x:v>8</x:v>
      </x:c>
    </x:row>
    <x:row r="18" ht="54" customHeight="1">
      <x:c r="A18" s="20">
        <x:v>46193</x:v>
      </x:c>
      <x:c r="B18" s="21" t="s">
        <x:v>40</x:v>
      </x:c>
      <x:c r="C18" s="21" t="s">
        <x:v>53</x:v>
      </x:c>
      <x:c r="D18" s="21" t="s">
        <x:v>54</x:v>
      </x:c>
      <x:c r="E18" s="22">
        <x:v>2.75</x:v>
      </x:c>
      <x:c r="F18" s="22" t="n">
        <x:f>IF(A18="","",Einstellungen!$B$5)</x:f>
        <x:v>85</x:v>
      </x:c>
      <x:c r="G18" s="22">
        <x:f t="shared" si="0"/>
        <x:v>233.75</x:v>
      </x:c>
      <x:c r="H18" s="23">
        <x:f t="shared" si="1"/>
        <x:v>25</x:v>
      </x:c>
      <x:c r="I18" s="21" t="str">
        <x:f t="shared" si="2"/>
        <x:v>Juni 2026</x:v>
      </x:c>
      <x:c r="J18" s="21" t="s">
        <x:v>7</x:v>
      </x:c>
      <x:c r="K18" s="21" t="s">
        <x:v>16</x:v>
      </x:c>
    </x:row>
    <x:row r="19" ht="54" customHeight="1">
      <x:c r="A19" s="41">
        <x:v>46194</x:v>
      </x:c>
      <x:c r="B19" s="42" t="s">
        <x:v>40</x:v>
      </x:c>
      <x:c r="C19" s="42" t="s">
        <x:v>55</x:v>
      </x:c>
      <x:c r="D19" s="42" t="s">
        <x:v>56</x:v>
      </x:c>
      <x:c r="E19" s="43">
        <x:v>0.5</x:v>
      </x:c>
      <x:c r="F19" s="22" t="n">
        <x:f>IF(A19="","",Einstellungen!$B$5)</x:f>
        <x:v>85</x:v>
      </x:c>
      <x:c r="G19" s="22">
        <x:f t="shared" si="0"/>
        <x:v>42.5</x:v>
      </x:c>
      <x:c r="H19" s="23">
        <x:f t="shared" si="1"/>
        <x:v>25</x:v>
      </x:c>
      <x:c r="I19" s="21" t="str">
        <x:f t="shared" si="2"/>
        <x:v>Juni 2026</x:v>
      </x:c>
      <x:c r="J19" s="21" t="s">
        <x:v>7</x:v>
      </x:c>
      <x:c r="K19" s="21" t="s">
        <x:v>16</x:v>
      </x:c>
    </x:row>
    <x:row r="20" ht="54" customHeight="1">
      <x:c r="A20" s="46" t="s">
        <x:v>57</x:v>
      </x:c>
      <x:c r="B20" s="47"/>
      <x:c r="C20" s="47"/>
      <x:c r="D20" s="48"/>
      <x:c r="E20" s="40" t="n">
        <x:f>SUM(E13:E19)</x:f>
        <x:v>10.3</x:v>
      </x:c>
      <x:c r="F20" s="22" t="n">
        <x:f>IF(A20="","",Einstellungen!$B$5)</x:f>
        <x:v>85</x:v>
      </x:c>
      <x:c r="G20" s="22">
        <x:f t="shared" si="0"/>
        <x:v>875.50000000000011</x:v>
      </x:c>
      <x:c r="H20" s="23" t="e">
        <x:f t="shared" si="1"/>
        <x:v>#VALUE!</x:v>
      </x:c>
      <x:c r="I20" s="21" t="e">
        <x:f t="shared" si="2"/>
        <x:v>#VALUE!</x:v>
      </x:c>
      <x:c r="J20" s="21"/>
      <x:c r="K20" s="21"/>
    </x:row>
    <x:row r="21" ht="54" customHeight="1">
      <x:c r="A21" s="20">
        <x:v>46196</x:v>
      </x:c>
      <x:c r="B21" s="21" t="s">
        <x:v>40</x:v>
      </x:c>
      <x:c r="C21" s="21" t="str">
        <x:v>Leistungsbeschreibung Short.io-Anfrage</x:v>
      </x:c>
      <x:c r="D21" s="21" t="str">
        <x:v>Ausarbeitung einer strukturierten Leistungsbeschreibung für die geplante Short.io-Anfrage einschließlich fachlicher Anforderungen, relevanter Rahmenbedingungen und prüffähiger Anfrageinhalte als Grundlage für die weitere Anbieterabstimmung.</x:v>
      </x:c>
      <x:c r="E21" s="22">
        <x:v>1.2</x:v>
      </x:c>
      <x:c r="F21" s="22" t="n">
        <x:f>IF(A21="","",Einstellungen!$B$5)</x:f>
        <x:v>85</x:v>
      </x:c>
      <x:c r="G21" s="22">
        <x:f t="shared" si="0"/>
        <x:v>102</x:v>
      </x:c>
      <x:c r="H21" s="23">
        <x:f t="shared" si="1"/>
        <x:v>26</x:v>
      </x:c>
      <x:c r="I21" s="21" t="str">
        <x:f t="shared" si="2"/>
        <x:v>Juni 2026</x:v>
      </x:c>
      <x:c r="J21" s="21"/>
      <x:c r="K21" s="21"/>
    </x:row>
    <x:row r="22" ht="54" customHeight="1">
      <x:c r="A22" s="20">
        <x:v>46197</x:v>
      </x:c>
      <x:c r="B22" s="21" t="s">
        <x:v>58</x:v>
      </x:c>
      <x:c r="C22" s="21" t="str">
        <x:v>Abstimmung Testvarianten Studienkonzept</x:v>
      </x:c>
      <x:c r="D22" s="21" t="str">
        <x:v>Abstimmung mit Jule, Simone und Cathleen zur Konzeption und Einordnung der vier vorgesehenen Testvarianten; Klärung zentraler Anforderungen, Variantenlogik und nächster Schritte für die weitere Studienplanung.</x:v>
      </x:c>
      <x:c r="E22" s="22">
        <x:v>1</x:v>
      </x:c>
      <x:c r="F22" s="22" t="n">
        <x:f>IF(A22="","",Einstellungen!$B$5)</x:f>
        <x:v>85</x:v>
      </x:c>
      <x:c r="G22" s="22">
        <x:f t="shared" si="0"/>
        <x:v>85</x:v>
      </x:c>
      <x:c r="H22" s="23">
        <x:f t="shared" si="1"/>
        <x:v>26</x:v>
      </x:c>
      <x:c r="I22" s="21" t="str">
        <x:f t="shared" si="2"/>
        <x:v>Juni 2026</x:v>
      </x:c>
      <x:c r="J22" s="21"/>
      <x:c r="K22" s="21"/>
    </x:row>
    <x:row r="23" ht="54" customHeight="1">
      <x:c r="A23" s="20">
        <x:v>46197</x:v>
      </x:c>
      <x:c r="B23" s="21" t="s">
        <x:v>58</x:v>
      </x:c>
      <x:c r="C23" s="21" t="str">
        <x:v>Einarbeitung Methodik und Studienunterlagen</x:v>
      </x:c>
      <x:c r="D23" s="21" t="str">
        <x:v>Einarbeitung in das Studienthema, Recherche und fachliche Einordnung der verwendeten Methoden sowie Durcharbeitung der vorhandenen Präsentationsunterlagen zur Vorbereitung der weiteren konzeptionellen und inhaltlichen Ausarbeitung.</x:v>
      </x:c>
      <x:c r="E23" s="22">
        <x:v>1.6</x:v>
      </x:c>
      <x:c r="F23" s="22" t="n">
        <x:f>IF(A23="","",Einstellungen!$B$5)</x:f>
        <x:v>85</x:v>
      </x:c>
      <x:c r="G23" s="22">
        <x:f t="shared" si="0"/>
        <x:v>136</x:v>
      </x:c>
      <x:c r="H23" s="23">
        <x:f t="shared" si="1"/>
        <x:v>26</x:v>
      </x:c>
      <x:c r="I23" s="21" t="str">
        <x:f t="shared" si="2"/>
        <x:v>Juni 2026</x:v>
      </x:c>
      <x:c r="J23" s="21"/>
      <x:c r="K23" s="21"/>
    </x:row>
    <x:row r="24" ht="54" customHeight="1">
      <x:c r="A24" s="20">
        <x:v>46197</x:v>
      </x:c>
      <x:c r="B24" s="21" t="s">
        <x:v>58</x:v>
      </x:c>
      <x:c r="C24" s="21" t="str">
        <x:v>Briefing Präsentationsausarbeitung</x:v>
      </x:c>
      <x:c r="D24" s="21" t="str">
        <x:v>Erstellung und Strukturierung eines Briefings für Cathleen zur weiteren Bearbeitung der Präsentation, inklusive Zusammenfassung relevanter Inhalte und Anforderungen für die nächste Ausarbeitungsschleife.</x:v>
      </x:c>
      <x:c r="E24" s="22">
        <x:v>0.5</x:v>
      </x:c>
      <x:c r="F24" s="22" t="n">
        <x:f>IF(A24="","",Einstellungen!$B$5)</x:f>
        <x:v>85</x:v>
      </x:c>
      <x:c r="G24" s="22">
        <x:f t="shared" si="0"/>
        <x:v>42.5</x:v>
      </x:c>
      <x:c r="H24" s="23">
        <x:f t="shared" si="1"/>
        <x:v>26</x:v>
      </x:c>
      <x:c r="I24" s="21" t="str">
        <x:f t="shared" si="2"/>
        <x:v>Juni 2026</x:v>
      </x:c>
      <x:c r="J24" s="21"/>
      <x:c r="K24" s="21"/>
    </x:row>
    <x:row r="25" ht="54" customHeight="1">
      <x:c r="A25" s="20">
        <x:v>46198</x:v>
      </x:c>
      <x:c r="B25" s="21" t="s">
        <x:v>58</x:v>
      </x:c>
      <x:c r="C25" s="21" t="str">
        <x:v>Finalisierung Briefing und Visualisierungstexte</x:v>
      </x:c>
      <x:c r="D25" s="21" t="str">
        <x:v>Finalisierung des Briefings für Cathleen sowie Ausarbeitung und Präzisierung von Textvorschlägen und Visualisierungsansätzen für die Studienpräsentation.</x:v>
      </x:c>
      <x:c r="E25" s="22">
        <x:v>1.2</x:v>
      </x:c>
      <x:c r="F25" s="22" t="n">
        <x:f>IF(A25="","",Einstellungen!$B$5)</x:f>
        <x:v>85</x:v>
      </x:c>
      <x:c r="G25" s="22">
        <x:f t="shared" si="0"/>
        <x:v>102</x:v>
      </x:c>
      <x:c r="H25" s="23">
        <x:f t="shared" si="1"/>
        <x:v>26</x:v>
      </x:c>
      <x:c r="I25" s="21" t="str">
        <x:f t="shared" si="2"/>
        <x:v>Juni 2026</x:v>
      </x:c>
      <x:c r="J25" s="21"/>
      <x:c r="K25" s="21"/>
    </x:row>
    <x:row r="26" ht="54" customHeight="1">
      <x:c r="A26" s="20">
        <x:v>46198</x:v>
      </x:c>
      <x:c r="B26" s="21" t="s">
        <x:v>58</x:v>
      </x:c>
      <x:c r="C26" s="21" t="str">
        <x:v>Anfrage POSTWURFSPEZIAL</x:v>
      </x:c>
      <x:c r="D26" s="21" t="str">
        <x:v>Vorbereitung und Formulierung der Anfrage zu POSTWURFSPEZIAL unter Berücksichtigung der für die Studienumsetzung relevanten Anforderungen und Abstimmungsbedarfe.</x:v>
      </x:c>
      <x:c r="E26" s="22">
        <x:v>0.6</x:v>
      </x:c>
      <x:c r="F26" s="22" t="n">
        <x:f>IF(A26="","",Einstellungen!$B$5)</x:f>
        <x:v>85</x:v>
      </x:c>
      <x:c r="G26" s="22">
        <x:f t="shared" si="0"/>
        <x:v>51</x:v>
      </x:c>
      <x:c r="H26" s="23">
        <x:f t="shared" si="1"/>
        <x:v>26</x:v>
      </x:c>
      <x:c r="I26" s="21" t="str">
        <x:f t="shared" si="2"/>
        <x:v>Juni 2026</x:v>
      </x:c>
      <x:c r="J26" s="21"/>
      <x:c r="K26" s="21"/>
    </x:row>
    <x:row r="27" ht="54" customHeight="1">
      <x:c r="A27" s="20">
        <x:v>46198</x:v>
      </x:c>
      <x:c r="B27" s="21" t="s">
        <x:v>58</x:v>
      </x:c>
      <x:c r="C27" s="21" t="str">
        <x:v>Ist-/Soll-Analyse Studienmailing</x:v>
      </x:c>
      <x:c r="D27" s="21" t="str">
        <x:v>Durchführung einer Ist-/Soll-Analyse für die Erstellung des Studienmailings; Prüfung des Partnerfragebogens und der InDesign-Vorlagen sowie Bewertung möglicher Automatisierungsansätze einschließlich teambezogener Abstimmungen zu Umsetzbarkeit und Vorgehen.</x:v>
      </x:c>
      <x:c r="E27" s="22">
        <x:v>2.15</x:v>
      </x:c>
      <x:c r="F27" s="22" t="n">
        <x:f>IF(A27="","",Einstellungen!$B$5)</x:f>
        <x:v>85</x:v>
      </x:c>
      <x:c r="G27" s="22">
        <x:f t="shared" si="0"/>
        <x:v>182.75</x:v>
      </x:c>
      <x:c r="H27" s="23">
        <x:f t="shared" si="1"/>
        <x:v>26</x:v>
      </x:c>
      <x:c r="I27" s="21" t="str">
        <x:f t="shared" si="2"/>
        <x:v>Juni 2026</x:v>
      </x:c>
      <x:c r="J27" s="21"/>
      <x:c r="K27" s="21"/>
    </x:row>
    <x:row r="28" ht="54" customHeight="1">
      <x:c r="A28" s="20">
        <x:v>46198</x:v>
      </x:c>
      <x:c r="B28" s="21" t="s">
        <x:v>58</x:v>
      </x:c>
      <x:c r="C28" s="21" t="str">
        <x:v>Klärung Pre-Test-Vorgehen</x:v>
      </x:c>
      <x:c r="D28" s="21" t="str">
        <x:v>Klärung des geplanten Pre-Test-Vorgehens mit dem Team, einschließlich Abstimmung offener Punkte und Einordnung der nächsten Schritte für die weitere Studienvorbereitung.</x:v>
      </x:c>
      <x:c r="E28" s="22">
        <x:v>0.3</x:v>
      </x:c>
      <x:c r="F28" s="22" t="n">
        <x:f>IF(A28="","",Einstellungen!$B$5)</x:f>
        <x:v>85</x:v>
      </x:c>
      <x:c r="G28" s="22">
        <x:f t="shared" si="0"/>
        <x:v>25.5</x:v>
      </x:c>
      <x:c r="H28" s="23">
        <x:f t="shared" si="1"/>
        <x:v>26</x:v>
      </x:c>
      <x:c r="I28" s="21" t="str">
        <x:f t="shared" si="2"/>
        <x:v>Juni 2026</x:v>
      </x:c>
      <x:c r="J28" s="21"/>
      <x:c r="K28" s="21"/>
    </x:row>
    <x:row r="29" ht="54" customHeight="1">
      <x:c r="A29" s="20">
        <x:v>46198</x:v>
      </x:c>
      <x:c r="B29" s="21" t="s">
        <x:v>58</x:v>
      </x:c>
      <x:c r="C29" s="21" t="str">
        <x:v>Statusabfrage und Arbeitspaket-Update</x:v>
      </x:c>
      <x:c r="D29" s="21" t="str">
        <x:v>Einholung aktueller Statusinformationen und Aktualisierung der Arbeitspakete bis zum 03.07.; Strukturierung der offenen Punkte und Nachverfolgung relevanter Zuständigkeiten.</x:v>
      </x:c>
      <x:c r="E29" s="22">
        <x:v>0.5</x:v>
      </x:c>
      <x:c r="F29" s="22" t="n">
        <x:f>IF(A29="","",Einstellungen!$B$5)</x:f>
        <x:v>85</x:v>
      </x:c>
      <x:c r="G29" s="22">
        <x:f t="shared" si="0"/>
        <x:v>42.5</x:v>
      </x:c>
      <x:c r="H29" s="23">
        <x:f t="shared" si="1"/>
        <x:v>26</x:v>
      </x:c>
      <x:c r="I29" s="21" t="str">
        <x:f t="shared" si="2"/>
        <x:v>Juni 2026</x:v>
      </x:c>
      <x:c r="J29" s="21"/>
      <x:c r="K29" s="21"/>
    </x:row>
    <x:row r="30" ht="54" customHeight="1">
      <x:c r="A30" s="20">
        <x:v>46199</x:v>
      </x:c>
      <x:c r="B30" s="21" t="s">
        <x:v>58</x:v>
      </x:c>
      <x:c r="C30" s="21" t="str">
        <x:v>Testskript und Zusammenfassung</x:v>
      </x:c>
      <x:c r="D30" s="21" t="str">
        <x:v>Erstellung eines Skripts und Zusammenfassung der Inhalte als Testfassung für Jule und Simone, einschließlich Aufbereitung der relevanten Punkte für Prüfung, Feedback und weitere Abstimmung.</x:v>
      </x:c>
      <x:c r="E30" s="22">
        <x:v>1.55</x:v>
      </x:c>
      <x:c r="F30" s="22" t="n">
        <x:f>IF(A30="","",Einstellungen!$B$5)</x:f>
        <x:v>85</x:v>
      </x:c>
      <x:c r="G30" s="22">
        <x:f t="shared" si="0"/>
        <x:v>131.75</x:v>
      </x:c>
      <x:c r="H30" s="23">
        <x:f t="shared" si="1"/>
        <x:v>26</x:v>
      </x:c>
      <x:c r="I30" s="21" t="str">
        <x:f t="shared" si="2"/>
        <x:v>Juni 2026</x:v>
      </x:c>
      <x:c r="J30" s="21"/>
      <x:c r="K30" s="21"/>
    </x:row>
    <x:row r="31" ht="54" customHeight="1">
      <x:c r="A31" s="20">
        <x:v>46199</x:v>
      </x:c>
      <x:c r="B31" s="21" t="s">
        <x:v>58</x:v>
      </x:c>
      <x:c r="C31" s="21"/>
      <x:c r="D31" s="21" t="s">
        <x:v>59</x:v>
      </x:c>
      <x:c r="E31" s="22">
        <x:v>1.1000000000000001</x:v>
      </x:c>
      <x:c r="F31" s="22" t="n">
        <x:f>IF(A31="","",Einstellungen!$B$5)</x:f>
        <x:v>85</x:v>
      </x:c>
      <x:c r="G31" s="22">
        <x:f t="shared" si="0"/>
        <x:v>93.500000000000014</x:v>
      </x:c>
      <x:c r="H31" s="23">
        <x:f t="shared" si="1"/>
        <x:v>26</x:v>
      </x:c>
      <x:c r="I31" s="21" t="str">
        <x:f t="shared" si="2"/>
        <x:v>Juni 2026</x:v>
      </x:c>
      <x:c r="J31" s="21"/>
      <x:c r="K31" s="21"/>
    </x:row>
    <x:row r="32" ht="54" customHeight="1">
      <x:c r="A32" s="20">
        <x:v>46199</x:v>
      </x:c>
      <x:c r="B32" s="21" t="s">
        <x:v>58</x:v>
      </x:c>
      <x:c r="C32" s="21"/>
      <x:c r="D32" s="21" t="s">
        <x:v>60</x:v>
      </x:c>
      <x:c r="E32" s="22">
        <x:v>0.7</x:v>
      </x:c>
      <x:c r="F32" s="22" t="n">
        <x:f>IF(A32="","",Einstellungen!$B$5)</x:f>
        <x:v>85</x:v>
      </x:c>
      <x:c r="G32" s="22">
        <x:f t="shared" si="0"/>
        <x:v>59.499999999999993</x:v>
      </x:c>
      <x:c r="H32" s="23">
        <x:f t="shared" si="1"/>
        <x:v>26</x:v>
      </x:c>
      <x:c r="I32" s="21" t="str">
        <x:f t="shared" si="2"/>
        <x:v>Juni 2026</x:v>
      </x:c>
      <x:c r="J32" s="21"/>
      <x:c r="K32" s="21"/>
    </x:row>
    <x:row r="33" ht="54" customHeight="1">
      <x:c r="A33" s="20">
        <x:v>46199</x:v>
      </x:c>
      <x:c r="B33" s="21" t="s">
        <x:v>58</x:v>
      </x:c>
      <x:c r="C33" s="21"/>
      <x:c r="D33" s="21" t="s">
        <x:v>61</x:v>
      </x:c>
      <x:c r="E33" s="22">
        <x:v>0.65</x:v>
      </x:c>
      <x:c r="F33" s="22" t="n">
        <x:f>IF(A33="","",Einstellungen!$B$5)</x:f>
        <x:v>85</x:v>
      </x:c>
      <x:c r="G33" s="22">
        <x:f t="shared" si="0"/>
        <x:v>55.25</x:v>
      </x:c>
      <x:c r="H33" s="23">
        <x:f t="shared" si="1"/>
        <x:v>26</x:v>
      </x:c>
      <x:c r="I33" s="21" t="str">
        <x:f t="shared" si="2"/>
        <x:v>Juni 2026</x:v>
      </x:c>
      <x:c r="J33" s="21"/>
      <x:c r="K33" s="21"/>
    </x:row>
    <x:row r="34" ht="54" customHeight="1">
      <x:c r="A34" s="20">
        <x:v>46199</x:v>
      </x:c>
      <x:c r="B34" s="21" t="s">
        <x:v>58</x:v>
      </x:c>
      <x:c r="C34" s="21"/>
      <x:c r="D34" s="21" t="s">
        <x:v>62</x:v>
      </x:c>
      <x:c r="E34" s="22">
        <x:v>0.75</x:v>
      </x:c>
      <x:c r="F34" s="22" t="n">
        <x:f>IF(A34="","",Einstellungen!$B$5)</x:f>
        <x:v>85</x:v>
      </x:c>
      <x:c r="G34" s="22">
        <x:f t="shared" si="0"/>
        <x:v>63.75</x:v>
      </x:c>
      <x:c r="H34" s="23">
        <x:f t="shared" si="1"/>
        <x:v>26</x:v>
      </x:c>
      <x:c r="I34" s="21" t="str">
        <x:f t="shared" si="2"/>
        <x:v>Juni 2026</x:v>
      </x:c>
      <x:c r="J34" s="21"/>
      <x:c r="K34" s="21"/>
    </x:row>
    <x:row r="35" ht="54" customHeight="1">
      <x:c r="A35" s="20">
        <x:v>46199</x:v>
      </x:c>
      <x:c r="B35" s="21" t="s">
        <x:v>58</x:v>
      </x:c>
      <x:c r="C35" s="21"/>
      <x:c r="D35" s="21" t="s">
        <x:v>63</x:v>
      </x:c>
      <x:c r="E35" s="22">
        <x:v>1.2</x:v>
      </x:c>
      <x:c r="F35" s="22" t="n">
        <x:f>IF(A35="","",Einstellungen!$B$5)</x:f>
        <x:v>85</x:v>
      </x:c>
      <x:c r="G35" s="22">
        <x:f t="shared" si="0"/>
        <x:v>102</x:v>
      </x:c>
      <x:c r="H35" s="23">
        <x:f t="shared" si="1"/>
        <x:v>26</x:v>
      </x:c>
      <x:c r="I35" s="21" t="str">
        <x:f t="shared" si="2"/>
        <x:v>Juni 2026</x:v>
      </x:c>
      <x:c r="J35" s="21"/>
      <x:c r="K35" s="21"/>
    </x:row>
    <x:row r="36" ht="54" customHeight="1">
      <x:c r="A36" s="20">
        <x:v>46200</x:v>
      </x:c>
      <x:c r="B36" s="21" t="s">
        <x:v>58</x:v>
      </x:c>
      <x:c r="C36" s="21"/>
      <x:c r="D36" s="21" t="s">
        <x:v>64</x:v>
      </x:c>
      <x:c r="E36" s="22">
        <x:v>1</x:v>
      </x:c>
      <x:c r="F36" s="22" t="n">
        <x:f>IF(A36="","",Einstellungen!$B$5)</x:f>
        <x:v>85</x:v>
      </x:c>
      <x:c r="G36" s="22">
        <x:f t="shared" si="0"/>
        <x:v>85</x:v>
      </x:c>
      <x:c r="H36" s="23">
        <x:f t="shared" si="1"/>
        <x:v>26</x:v>
      </x:c>
      <x:c r="I36" s="21" t="str">
        <x:f t="shared" si="2"/>
        <x:v>Juni 2026</x:v>
      </x:c>
      <x:c r="J36" s="21"/>
      <x:c r="K36" s="21"/>
    </x:row>
    <x:row r="37" ht="54" customHeight="1">
      <x:c r="A37" s="20"/>
      <x:c r="B37" s="21"/>
      <x:c r="C37" s="21"/>
      <x:c r="D37" s="21"/>
      <x:c r="E37" s="22"/>
      <x:c r="F37" s="22" t="str">
        <x:f>IF(A37="","",Einstellungen!$B$5)</x:f>
      </x:c>
      <x:c r="G37" s="22" t="str">
        <x:f t="shared" si="0"/>
      </x:c>
      <x:c r="H37" s="23" t="str">
        <x:f t="shared" si="1"/>
      </x:c>
      <x:c r="I37" s="21" t="str">
        <x:f t="shared" si="2"/>
      </x:c>
      <x:c r="J37" s="21"/>
      <x:c r="K37" s="21"/>
    </x:row>
    <x:row r="38" ht="54" customHeight="1">
      <x:c r="A38" s="20"/>
      <x:c r="B38" s="21"/>
      <x:c r="C38" s="21"/>
      <x:c r="D38" s="21"/>
      <x:c r="E38" s="22"/>
      <x:c r="F38" s="22" t="str">
        <x:f>IF(A38="","",Einstellungen!$B$5)</x:f>
      </x:c>
      <x:c r="G38" s="22" t="str">
        <x:f t="shared" si="0"/>
      </x:c>
      <x:c r="H38" s="23" t="str">
        <x:f t="shared" si="1"/>
      </x:c>
      <x:c r="I38" s="21" t="str">
        <x:f t="shared" si="2"/>
      </x:c>
      <x:c r="J38" s="21"/>
      <x:c r="K38" s="21"/>
    </x:row>
    <x:row r="39" ht="54" customHeight="1">
      <x:c r="A39" s="20"/>
      <x:c r="B39" s="21"/>
      <x:c r="C39" s="21"/>
      <x:c r="D39" s="21"/>
      <x:c r="E39" s="22"/>
      <x:c r="F39" s="22" t="str">
        <x:f>IF(A39="","",Einstellungen!$B$5)</x:f>
      </x:c>
      <x:c r="G39" s="22" t="str">
        <x:f t="shared" si="0"/>
      </x:c>
      <x:c r="H39" s="23" t="str">
        <x:f t="shared" si="1"/>
      </x:c>
      <x:c r="I39" s="21" t="str">
        <x:f t="shared" si="2"/>
      </x:c>
      <x:c r="J39" s="21"/>
      <x:c r="K39" s="21"/>
    </x:row>
    <x:row r="40" ht="54" customHeight="1">
      <x:c r="A40" s="20"/>
      <x:c r="B40" s="21"/>
      <x:c r="C40" s="21"/>
      <x:c r="D40" s="21"/>
      <x:c r="E40" s="22"/>
      <x:c r="F40" s="22" t="str">
        <x:f>IF(A40="","",Einstellungen!$B$5)</x:f>
      </x:c>
      <x:c r="G40" s="22" t="str">
        <x:f t="shared" si="0"/>
      </x:c>
      <x:c r="H40" s="23" t="str">
        <x:f t="shared" si="1"/>
      </x:c>
      <x:c r="I40" s="21" t="str">
        <x:f t="shared" si="2"/>
      </x:c>
      <x:c r="J40" s="21"/>
      <x:c r="K40" s="21"/>
    </x:row>
    <x:row r="41" ht="54" customHeight="1">
      <x:c r="A41" s="20"/>
      <x:c r="B41" s="21"/>
      <x:c r="C41" s="21"/>
      <x:c r="D41" s="21"/>
      <x:c r="E41" s="22"/>
      <x:c r="F41" s="22" t="str">
        <x:f>IF(A41="","",Einstellungen!$B$5)</x:f>
      </x:c>
      <x:c r="G41" s="22" t="str">
        <x:f t="shared" si="0"/>
      </x:c>
      <x:c r="H41" s="23" t="str">
        <x:f t="shared" si="1"/>
      </x:c>
      <x:c r="I41" s="21" t="str">
        <x:f t="shared" si="2"/>
      </x:c>
      <x:c r="J41" s="21"/>
      <x:c r="K41" s="21"/>
    </x:row>
    <x:row r="42" ht="54" customHeight="1">
      <x:c r="A42" s="20"/>
      <x:c r="B42" s="21"/>
      <x:c r="C42" s="21"/>
      <x:c r="D42" s="21"/>
      <x:c r="E42" s="22"/>
      <x:c r="F42" s="22" t="str">
        <x:f>IF(A42="","",Einstellungen!$B$5)</x:f>
      </x:c>
      <x:c r="G42" s="22" t="str">
        <x:f t="shared" si="0"/>
      </x:c>
      <x:c r="H42" s="23" t="str">
        <x:f t="shared" si="1"/>
      </x:c>
      <x:c r="I42" s="21" t="str">
        <x:f t="shared" si="2"/>
      </x:c>
      <x:c r="J42" s="21"/>
      <x:c r="K42" s="21"/>
    </x:row>
    <x:row r="43" ht="54" customHeight="1">
      <x:c r="A43" s="20"/>
      <x:c r="B43" s="21"/>
      <x:c r="C43" s="21"/>
      <x:c r="D43" s="21"/>
      <x:c r="E43" s="22"/>
      <x:c r="F43" s="22" t="str">
        <x:f>IF(A43="","",Einstellungen!$B$5)</x:f>
      </x:c>
      <x:c r="G43" s="22" t="str">
        <x:f t="shared" si="0"/>
      </x:c>
      <x:c r="H43" s="23" t="str">
        <x:f t="shared" si="1"/>
      </x:c>
      <x:c r="I43" s="21" t="str">
        <x:f t="shared" si="2"/>
      </x:c>
      <x:c r="J43" s="21"/>
      <x:c r="K43" s="21"/>
    </x:row>
    <x:row r="44" ht="54" customHeight="1">
      <x:c r="A44" s="20"/>
      <x:c r="B44" s="21"/>
      <x:c r="C44" s="21"/>
      <x:c r="D44" s="21"/>
      <x:c r="E44" s="22"/>
      <x:c r="F44" s="22" t="str">
        <x:f>IF(A44="","",Einstellungen!$B$5)</x:f>
      </x:c>
      <x:c r="G44" s="22" t="str">
        <x:f t="shared" si="0"/>
      </x:c>
      <x:c r="H44" s="23" t="str">
        <x:f t="shared" si="1"/>
      </x:c>
      <x:c r="I44" s="21" t="str">
        <x:f t="shared" si="2"/>
      </x:c>
      <x:c r="J44" s="21"/>
      <x:c r="K44" s="21"/>
    </x:row>
    <x:row r="45" ht="54" customHeight="1">
      <x:c r="A45" s="20"/>
      <x:c r="B45" s="21"/>
      <x:c r="C45" s="21"/>
      <x:c r="D45" s="21"/>
      <x:c r="E45" s="22"/>
      <x:c r="F45" s="22" t="str">
        <x:f>IF(A45="","",Einstellungen!$B$5)</x:f>
      </x:c>
      <x:c r="G45" s="22" t="str">
        <x:f t="shared" ref="G45:G76" si="3">IF(E45="","",E45*F45)</x:f>
      </x:c>
      <x:c r="H45" s="23" t="str">
        <x:f t="shared" ref="H45:H76" si="4">IF(A45="","",WEEKNUM(A45,21))</x:f>
      </x:c>
      <x:c r="I45" s="21" t="str">
        <x:f t="shared" ref="I45:I76" si="5">IF(A45="","",CHOOSE(MONTH(A45),"Januar","Februar","März","April","Mai","Juni","Juli","August","September","Oktober","November","Dezember")&amp;" "&amp;YEAR(A45))</x:f>
      </x:c>
      <x:c r="J45" s="21"/>
      <x:c r="K45" s="21"/>
    </x:row>
    <x:row r="46" ht="54" customHeight="1">
      <x:c r="A46" s="20"/>
      <x:c r="B46" s="21"/>
      <x:c r="C46" s="21"/>
      <x:c r="D46" s="21"/>
      <x:c r="E46" s="22"/>
      <x:c r="F46" s="22" t="str">
        <x:f>IF(A46="","",Einstellungen!$B$5)</x:f>
      </x:c>
      <x:c r="G46" s="22" t="str">
        <x:f t="shared" si="3"/>
      </x:c>
      <x:c r="H46" s="23" t="str">
        <x:f t="shared" si="4"/>
      </x:c>
      <x:c r="I46" s="21" t="str">
        <x:f t="shared" si="5"/>
      </x:c>
      <x:c r="J46" s="21"/>
      <x:c r="K46" s="21"/>
    </x:row>
    <x:row r="47" ht="54" customHeight="1">
      <x:c r="A47" s="20"/>
      <x:c r="B47" s="21"/>
      <x:c r="C47" s="21"/>
      <x:c r="D47" s="21"/>
      <x:c r="E47" s="22"/>
      <x:c r="F47" s="22" t="str">
        <x:f>IF(A47="","",Einstellungen!$B$5)</x:f>
      </x:c>
      <x:c r="G47" s="22" t="str">
        <x:f t="shared" si="3"/>
      </x:c>
      <x:c r="H47" s="23" t="str">
        <x:f t="shared" si="4"/>
      </x:c>
      <x:c r="I47" s="21" t="str">
        <x:f t="shared" si="5"/>
      </x:c>
      <x:c r="J47" s="21"/>
      <x:c r="K47" s="21"/>
    </x:row>
    <x:row r="48" ht="54" customHeight="1">
      <x:c r="A48" s="20"/>
      <x:c r="B48" s="21"/>
      <x:c r="C48" s="21"/>
      <x:c r="D48" s="21"/>
      <x:c r="E48" s="22"/>
      <x:c r="F48" s="22" t="str">
        <x:f>IF(A48="","",Einstellungen!$B$5)</x:f>
      </x:c>
      <x:c r="G48" s="22" t="str">
        <x:f t="shared" si="3"/>
      </x:c>
      <x:c r="H48" s="23" t="str">
        <x:f t="shared" si="4"/>
      </x:c>
      <x:c r="I48" s="21" t="str">
        <x:f t="shared" si="5"/>
      </x:c>
      <x:c r="J48" s="21"/>
      <x:c r="K48" s="21"/>
    </x:row>
    <x:row r="49" ht="54" customHeight="1">
      <x:c r="A49" s="20"/>
      <x:c r="B49" s="21"/>
      <x:c r="C49" s="21"/>
      <x:c r="D49" s="21"/>
      <x:c r="E49" s="22"/>
      <x:c r="F49" s="22" t="str">
        <x:f>IF(A49="","",Einstellungen!$B$5)</x:f>
      </x:c>
      <x:c r="G49" s="22" t="str">
        <x:f t="shared" si="3"/>
      </x:c>
      <x:c r="H49" s="23" t="str">
        <x:f t="shared" si="4"/>
      </x:c>
      <x:c r="I49" s="21" t="str">
        <x:f t="shared" si="5"/>
      </x:c>
      <x:c r="J49" s="21"/>
      <x:c r="K49" s="21"/>
    </x:row>
    <x:row r="50" ht="54" customHeight="1">
      <x:c r="A50" s="20"/>
      <x:c r="B50" s="21"/>
      <x:c r="C50" s="21"/>
      <x:c r="D50" s="21"/>
      <x:c r="E50" s="22"/>
      <x:c r="F50" s="22" t="str">
        <x:f>IF(A50="","",Einstellungen!$B$5)</x:f>
      </x:c>
      <x:c r="G50" s="22" t="str">
        <x:f t="shared" si="3"/>
      </x:c>
      <x:c r="H50" s="23" t="str">
        <x:f t="shared" si="4"/>
      </x:c>
      <x:c r="I50" s="21" t="str">
        <x:f t="shared" si="5"/>
      </x:c>
      <x:c r="J50" s="21"/>
      <x:c r="K50" s="21"/>
    </x:row>
    <x:row r="51" ht="54" customHeight="1">
      <x:c r="A51" s="20"/>
      <x:c r="B51" s="21"/>
      <x:c r="C51" s="21"/>
      <x:c r="D51" s="21"/>
      <x:c r="E51" s="22"/>
      <x:c r="F51" s="22" t="str">
        <x:f>IF(A51="","",Einstellungen!$B$5)</x:f>
      </x:c>
      <x:c r="G51" s="22" t="str">
        <x:f t="shared" si="3"/>
      </x:c>
      <x:c r="H51" s="23" t="str">
        <x:f t="shared" si="4"/>
      </x:c>
      <x:c r="I51" s="21" t="str">
        <x:f t="shared" si="5"/>
      </x:c>
      <x:c r="J51" s="21"/>
      <x:c r="K51" s="21"/>
    </x:row>
    <x:row r="52" ht="54" customHeight="1">
      <x:c r="A52" s="20"/>
      <x:c r="B52" s="21"/>
      <x:c r="C52" s="21"/>
      <x:c r="D52" s="21"/>
      <x:c r="E52" s="22"/>
      <x:c r="F52" s="22" t="str">
        <x:f>IF(A52="","",Einstellungen!$B$5)</x:f>
      </x:c>
      <x:c r="G52" s="22" t="str">
        <x:f t="shared" si="3"/>
      </x:c>
      <x:c r="H52" s="23" t="str">
        <x:f t="shared" si="4"/>
      </x:c>
      <x:c r="I52" s="21" t="str">
        <x:f t="shared" si="5"/>
      </x:c>
      <x:c r="J52" s="21"/>
      <x:c r="K52" s="21"/>
    </x:row>
    <x:row r="53" ht="54" customHeight="1">
      <x:c r="A53" s="20"/>
      <x:c r="B53" s="21"/>
      <x:c r="C53" s="21"/>
      <x:c r="D53" s="21"/>
      <x:c r="E53" s="22"/>
      <x:c r="F53" s="22" t="str">
        <x:f>IF(A53="","",Einstellungen!$B$5)</x:f>
      </x:c>
      <x:c r="G53" s="22" t="str">
        <x:f t="shared" si="3"/>
      </x:c>
      <x:c r="H53" s="23" t="str">
        <x:f t="shared" si="4"/>
      </x:c>
      <x:c r="I53" s="21" t="str">
        <x:f t="shared" si="5"/>
      </x:c>
      <x:c r="J53" s="21"/>
      <x:c r="K53" s="21"/>
    </x:row>
    <x:row r="54" ht="54" customHeight="1">
      <x:c r="A54" s="20"/>
      <x:c r="B54" s="21"/>
      <x:c r="C54" s="21"/>
      <x:c r="D54" s="21"/>
      <x:c r="E54" s="22"/>
      <x:c r="F54" s="22" t="str">
        <x:f>IF(A54="","",Einstellungen!$B$5)</x:f>
      </x:c>
      <x:c r="G54" s="22" t="str">
        <x:f t="shared" si="3"/>
      </x:c>
      <x:c r="H54" s="23" t="str">
        <x:f t="shared" si="4"/>
      </x:c>
      <x:c r="I54" s="21" t="str">
        <x:f t="shared" si="5"/>
      </x:c>
      <x:c r="J54" s="21"/>
      <x:c r="K54" s="21"/>
    </x:row>
    <x:row r="55" ht="54" customHeight="1">
      <x:c r="A55" s="20"/>
      <x:c r="B55" s="21"/>
      <x:c r="C55" s="21"/>
      <x:c r="D55" s="21"/>
      <x:c r="E55" s="22"/>
      <x:c r="F55" s="22" t="str">
        <x:f>IF(A55="","",Einstellungen!$B$5)</x:f>
      </x:c>
      <x:c r="G55" s="22" t="str">
        <x:f t="shared" si="3"/>
      </x:c>
      <x:c r="H55" s="23" t="str">
        <x:f t="shared" si="4"/>
      </x:c>
      <x:c r="I55" s="21" t="str">
        <x:f t="shared" si="5"/>
      </x:c>
      <x:c r="J55" s="21"/>
      <x:c r="K55" s="21"/>
    </x:row>
    <x:row r="56" ht="54" customHeight="1">
      <x:c r="A56" s="20"/>
      <x:c r="B56" s="21"/>
      <x:c r="C56" s="21"/>
      <x:c r="D56" s="21"/>
      <x:c r="E56" s="22"/>
      <x:c r="F56" s="22" t="str">
        <x:f>IF(A56="","",Einstellungen!$B$5)</x:f>
      </x:c>
      <x:c r="G56" s="22" t="str">
        <x:f t="shared" si="3"/>
      </x:c>
      <x:c r="H56" s="23" t="str">
        <x:f t="shared" si="4"/>
      </x:c>
      <x:c r="I56" s="21" t="str">
        <x:f t="shared" si="5"/>
      </x:c>
      <x:c r="J56" s="21"/>
      <x:c r="K56" s="21"/>
    </x:row>
    <x:row r="57" ht="54" customHeight="1">
      <x:c r="A57" s="20"/>
      <x:c r="B57" s="21"/>
      <x:c r="C57" s="21"/>
      <x:c r="D57" s="21"/>
      <x:c r="E57" s="22"/>
      <x:c r="F57" s="22" t="str">
        <x:f>IF(A57="","",Einstellungen!$B$5)</x:f>
      </x:c>
      <x:c r="G57" s="22" t="str">
        <x:f t="shared" si="3"/>
      </x:c>
      <x:c r="H57" s="23" t="str">
        <x:f t="shared" si="4"/>
      </x:c>
      <x:c r="I57" s="21" t="str">
        <x:f t="shared" si="5"/>
      </x:c>
      <x:c r="J57" s="21"/>
      <x:c r="K57" s="21"/>
    </x:row>
    <x:row r="58" ht="54" customHeight="1">
      <x:c r="A58" s="20"/>
      <x:c r="B58" s="21"/>
      <x:c r="C58" s="21"/>
      <x:c r="D58" s="21"/>
      <x:c r="E58" s="22"/>
      <x:c r="F58" s="22" t="str">
        <x:f>IF(A58="","",Einstellungen!$B$5)</x:f>
      </x:c>
      <x:c r="G58" s="22" t="str">
        <x:f t="shared" si="3"/>
      </x:c>
      <x:c r="H58" s="23" t="str">
        <x:f t="shared" si="4"/>
      </x:c>
      <x:c r="I58" s="21" t="str">
        <x:f t="shared" si="5"/>
      </x:c>
      <x:c r="J58" s="21"/>
      <x:c r="K58" s="21"/>
    </x:row>
    <x:row r="59" ht="54" customHeight="1">
      <x:c r="A59" s="20"/>
      <x:c r="B59" s="21"/>
      <x:c r="C59" s="21"/>
      <x:c r="D59" s="21"/>
      <x:c r="E59" s="22"/>
      <x:c r="F59" s="22" t="str">
        <x:f>IF(A59="","",Einstellungen!$B$5)</x:f>
      </x:c>
      <x:c r="G59" s="22" t="str">
        <x:f t="shared" si="3"/>
      </x:c>
      <x:c r="H59" s="23" t="str">
        <x:f t="shared" si="4"/>
      </x:c>
      <x:c r="I59" s="21" t="str">
        <x:f t="shared" si="5"/>
      </x:c>
      <x:c r="J59" s="21"/>
      <x:c r="K59" s="21"/>
    </x:row>
    <x:row r="60" ht="54" customHeight="1">
      <x:c r="A60" s="20"/>
      <x:c r="B60" s="21"/>
      <x:c r="C60" s="21"/>
      <x:c r="D60" s="21"/>
      <x:c r="E60" s="22"/>
      <x:c r="F60" s="22" t="str">
        <x:f>IF(A60="","",Einstellungen!$B$5)</x:f>
      </x:c>
      <x:c r="G60" s="22" t="str">
        <x:f t="shared" si="3"/>
      </x:c>
      <x:c r="H60" s="23" t="str">
        <x:f t="shared" si="4"/>
      </x:c>
      <x:c r="I60" s="21" t="str">
        <x:f t="shared" si="5"/>
      </x:c>
      <x:c r="J60" s="21"/>
      <x:c r="K60" s="21"/>
    </x:row>
    <x:row r="61" ht="54" customHeight="1">
      <x:c r="A61" s="20"/>
      <x:c r="B61" s="21"/>
      <x:c r="C61" s="21"/>
      <x:c r="D61" s="21"/>
      <x:c r="E61" s="22"/>
      <x:c r="F61" s="22" t="str">
        <x:f>IF(A61="","",Einstellungen!$B$5)</x:f>
      </x:c>
      <x:c r="G61" s="22" t="str">
        <x:f t="shared" si="3"/>
      </x:c>
      <x:c r="H61" s="23" t="str">
        <x:f t="shared" si="4"/>
      </x:c>
      <x:c r="I61" s="21" t="str">
        <x:f t="shared" si="5"/>
      </x:c>
      <x:c r="J61" s="21"/>
      <x:c r="K61" s="21"/>
    </x:row>
    <x:row r="62" ht="54" customHeight="1">
      <x:c r="A62" s="20"/>
      <x:c r="B62" s="21"/>
      <x:c r="C62" s="21"/>
      <x:c r="D62" s="21"/>
      <x:c r="E62" s="22"/>
      <x:c r="F62" s="22" t="str">
        <x:f>IF(A62="","",Einstellungen!$B$5)</x:f>
      </x:c>
      <x:c r="G62" s="22" t="str">
        <x:f t="shared" si="3"/>
      </x:c>
      <x:c r="H62" s="23" t="str">
        <x:f t="shared" si="4"/>
      </x:c>
      <x:c r="I62" s="21" t="str">
        <x:f t="shared" si="5"/>
      </x:c>
      <x:c r="J62" s="21"/>
      <x:c r="K62" s="21"/>
    </x:row>
    <x:row r="63" ht="54" customHeight="1">
      <x:c r="A63" s="20"/>
      <x:c r="B63" s="21"/>
      <x:c r="C63" s="21"/>
      <x:c r="D63" s="21"/>
      <x:c r="E63" s="22"/>
      <x:c r="F63" s="22" t="str">
        <x:f>IF(A63="","",Einstellungen!$B$5)</x:f>
      </x:c>
      <x:c r="G63" s="22" t="str">
        <x:f t="shared" si="3"/>
      </x:c>
      <x:c r="H63" s="23" t="str">
        <x:f t="shared" si="4"/>
      </x:c>
      <x:c r="I63" s="21" t="str">
        <x:f t="shared" si="5"/>
      </x:c>
      <x:c r="J63" s="21"/>
      <x:c r="K63" s="21"/>
    </x:row>
    <x:row r="64" ht="54" customHeight="1">
      <x:c r="A64" s="20"/>
      <x:c r="B64" s="21"/>
      <x:c r="C64" s="21"/>
      <x:c r="D64" s="21"/>
      <x:c r="E64" s="22"/>
      <x:c r="F64" s="22" t="str">
        <x:f>IF(A64="","",Einstellungen!$B$5)</x:f>
      </x:c>
      <x:c r="G64" s="22" t="str">
        <x:f t="shared" si="3"/>
      </x:c>
      <x:c r="H64" s="23" t="str">
        <x:f t="shared" si="4"/>
      </x:c>
      <x:c r="I64" s="21" t="str">
        <x:f t="shared" si="5"/>
      </x:c>
      <x:c r="J64" s="21"/>
      <x:c r="K64" s="21"/>
    </x:row>
    <x:row r="65" ht="54" customHeight="1">
      <x:c r="A65" s="20"/>
      <x:c r="B65" s="21"/>
      <x:c r="C65" s="21"/>
      <x:c r="D65" s="21"/>
      <x:c r="E65" s="22"/>
      <x:c r="F65" s="22" t="str">
        <x:f>IF(A65="","",Einstellungen!$B$5)</x:f>
      </x:c>
      <x:c r="G65" s="22" t="str">
        <x:f t="shared" si="3"/>
      </x:c>
      <x:c r="H65" s="23" t="str">
        <x:f t="shared" si="4"/>
      </x:c>
      <x:c r="I65" s="21" t="str">
        <x:f t="shared" si="5"/>
      </x:c>
      <x:c r="J65" s="21"/>
      <x:c r="K65" s="21"/>
    </x:row>
    <x:row r="66" ht="54" customHeight="1">
      <x:c r="A66" s="20"/>
      <x:c r="B66" s="21"/>
      <x:c r="C66" s="21"/>
      <x:c r="D66" s="21"/>
      <x:c r="E66" s="22"/>
      <x:c r="F66" s="22" t="str">
        <x:f>IF(A66="","",Einstellungen!$B$5)</x:f>
      </x:c>
      <x:c r="G66" s="22" t="str">
        <x:f t="shared" si="3"/>
      </x:c>
      <x:c r="H66" s="23" t="str">
        <x:f t="shared" si="4"/>
      </x:c>
      <x:c r="I66" s="21" t="str">
        <x:f t="shared" si="5"/>
      </x:c>
      <x:c r="J66" s="21"/>
      <x:c r="K66" s="21"/>
    </x:row>
    <x:row r="67" ht="54" customHeight="1">
      <x:c r="A67" s="20"/>
      <x:c r="B67" s="21"/>
      <x:c r="C67" s="21"/>
      <x:c r="D67" s="21"/>
      <x:c r="E67" s="22"/>
      <x:c r="F67" s="22" t="str">
        <x:f>IF(A67="","",Einstellungen!$B$5)</x:f>
      </x:c>
      <x:c r="G67" s="22" t="str">
        <x:f t="shared" si="3"/>
      </x:c>
      <x:c r="H67" s="23" t="str">
        <x:f t="shared" si="4"/>
      </x:c>
      <x:c r="I67" s="21" t="str">
        <x:f t="shared" si="5"/>
      </x:c>
      <x:c r="J67" s="21"/>
      <x:c r="K67" s="21"/>
    </x:row>
    <x:row r="68" ht="54" customHeight="1">
      <x:c r="A68" s="20"/>
      <x:c r="B68" s="21"/>
      <x:c r="C68" s="21"/>
      <x:c r="D68" s="21"/>
      <x:c r="E68" s="22"/>
      <x:c r="F68" s="22" t="str">
        <x:f>IF(A68="","",Einstellungen!$B$5)</x:f>
      </x:c>
      <x:c r="G68" s="22" t="str">
        <x:f t="shared" si="3"/>
      </x:c>
      <x:c r="H68" s="23" t="str">
        <x:f t="shared" si="4"/>
      </x:c>
      <x:c r="I68" s="21" t="str">
        <x:f t="shared" si="5"/>
      </x:c>
      <x:c r="J68" s="21"/>
      <x:c r="K68" s="21"/>
    </x:row>
    <x:row r="69" ht="54" customHeight="1">
      <x:c r="A69" s="20"/>
      <x:c r="B69" s="21"/>
      <x:c r="C69" s="21"/>
      <x:c r="D69" s="21"/>
      <x:c r="E69" s="22"/>
      <x:c r="F69" s="22" t="str">
        <x:f>IF(A69="","",Einstellungen!$B$5)</x:f>
      </x:c>
      <x:c r="G69" s="22" t="str">
        <x:f t="shared" si="3"/>
      </x:c>
      <x:c r="H69" s="23" t="str">
        <x:f t="shared" si="4"/>
      </x:c>
      <x:c r="I69" s="21" t="str">
        <x:f t="shared" si="5"/>
      </x:c>
      <x:c r="J69" s="21"/>
      <x:c r="K69" s="21"/>
    </x:row>
    <x:row r="70" ht="54" customHeight="1">
      <x:c r="A70" s="20"/>
      <x:c r="B70" s="21"/>
      <x:c r="C70" s="21"/>
      <x:c r="D70" s="21"/>
      <x:c r="E70" s="22"/>
      <x:c r="F70" s="22" t="str">
        <x:f>IF(A70="","",Einstellungen!$B$5)</x:f>
      </x:c>
      <x:c r="G70" s="22" t="str">
        <x:f t="shared" si="3"/>
      </x:c>
      <x:c r="H70" s="23" t="str">
        <x:f t="shared" si="4"/>
      </x:c>
      <x:c r="I70" s="21" t="str">
        <x:f t="shared" si="5"/>
      </x:c>
      <x:c r="J70" s="21"/>
      <x:c r="K70" s="21"/>
    </x:row>
    <x:row r="71" ht="54" customHeight="1">
      <x:c r="A71" s="20"/>
      <x:c r="B71" s="21"/>
      <x:c r="C71" s="21"/>
      <x:c r="D71" s="21"/>
      <x:c r="E71" s="22"/>
      <x:c r="F71" s="22" t="str">
        <x:f>IF(A71="","",Einstellungen!$B$5)</x:f>
      </x:c>
      <x:c r="G71" s="22" t="str">
        <x:f t="shared" si="3"/>
      </x:c>
      <x:c r="H71" s="23" t="str">
        <x:f t="shared" si="4"/>
      </x:c>
      <x:c r="I71" s="21" t="str">
        <x:f t="shared" si="5"/>
      </x:c>
      <x:c r="J71" s="21"/>
      <x:c r="K71" s="21"/>
    </x:row>
    <x:row r="72" ht="54" customHeight="1">
      <x:c r="A72" s="20"/>
      <x:c r="B72" s="21"/>
      <x:c r="C72" s="21"/>
      <x:c r="D72" s="21"/>
      <x:c r="E72" s="22"/>
      <x:c r="F72" s="22" t="str">
        <x:f>IF(A72="","",Einstellungen!$B$5)</x:f>
      </x:c>
      <x:c r="G72" s="22" t="str">
        <x:f t="shared" si="3"/>
      </x:c>
      <x:c r="H72" s="23" t="str">
        <x:f t="shared" si="4"/>
      </x:c>
      <x:c r="I72" s="21" t="str">
        <x:f t="shared" si="5"/>
      </x:c>
      <x:c r="J72" s="21"/>
      <x:c r="K72" s="21"/>
    </x:row>
    <x:row r="73" ht="54" customHeight="1">
      <x:c r="A73" s="20"/>
      <x:c r="B73" s="21"/>
      <x:c r="C73" s="21"/>
      <x:c r="D73" s="21"/>
      <x:c r="E73" s="22"/>
      <x:c r="F73" s="22" t="str">
        <x:f>IF(A73="","",Einstellungen!$B$5)</x:f>
      </x:c>
      <x:c r="G73" s="22" t="str">
        <x:f t="shared" si="3"/>
      </x:c>
      <x:c r="H73" s="23" t="str">
        <x:f t="shared" si="4"/>
      </x:c>
      <x:c r="I73" s="21" t="str">
        <x:f t="shared" si="5"/>
      </x:c>
      <x:c r="J73" s="21"/>
      <x:c r="K73" s="21"/>
    </x:row>
    <x:row r="74" ht="54" customHeight="1">
      <x:c r="A74" s="20"/>
      <x:c r="B74" s="21"/>
      <x:c r="C74" s="21"/>
      <x:c r="D74" s="21"/>
      <x:c r="E74" s="22"/>
      <x:c r="F74" s="22" t="str">
        <x:f>IF(A74="","",Einstellungen!$B$5)</x:f>
      </x:c>
      <x:c r="G74" s="22" t="str">
        <x:f t="shared" si="3"/>
      </x:c>
      <x:c r="H74" s="23" t="str">
        <x:f t="shared" si="4"/>
      </x:c>
      <x:c r="I74" s="21" t="str">
        <x:f t="shared" si="5"/>
      </x:c>
      <x:c r="J74" s="21"/>
      <x:c r="K74" s="21"/>
    </x:row>
    <x:row r="75" ht="54" customHeight="1">
      <x:c r="A75" s="20"/>
      <x:c r="B75" s="21"/>
      <x:c r="C75" s="21"/>
      <x:c r="D75" s="21"/>
      <x:c r="E75" s="22"/>
      <x:c r="F75" s="22" t="str">
        <x:f>IF(A75="","",Einstellungen!$B$5)</x:f>
      </x:c>
      <x:c r="G75" s="22" t="str">
        <x:f t="shared" si="3"/>
      </x:c>
      <x:c r="H75" s="23" t="str">
        <x:f t="shared" si="4"/>
      </x:c>
      <x:c r="I75" s="21" t="str">
        <x:f t="shared" si="5"/>
      </x:c>
      <x:c r="J75" s="21"/>
      <x:c r="K75" s="21"/>
    </x:row>
    <x:row r="76" ht="54" customHeight="1">
      <x:c r="A76" s="20"/>
      <x:c r="B76" s="21"/>
      <x:c r="C76" s="21"/>
      <x:c r="D76" s="21"/>
      <x:c r="E76" s="22"/>
      <x:c r="F76" s="22" t="str">
        <x:f>IF(A76="","",Einstellungen!$B$5)</x:f>
      </x:c>
      <x:c r="G76" s="22" t="str">
        <x:f t="shared" si="3"/>
      </x:c>
      <x:c r="H76" s="23" t="str">
        <x:f t="shared" si="4"/>
      </x:c>
      <x:c r="I76" s="21" t="str">
        <x:f t="shared" si="5"/>
      </x:c>
      <x:c r="J76" s="21"/>
      <x:c r="K76" s="21"/>
    </x:row>
    <x:row r="77" ht="54" customHeight="1">
      <x:c r="A77" s="20"/>
      <x:c r="B77" s="21"/>
      <x:c r="C77" s="21"/>
      <x:c r="D77" s="21"/>
      <x:c r="E77" s="22"/>
      <x:c r="F77" s="22" t="str">
        <x:f>IF(A77="","",Einstellungen!$B$5)</x:f>
      </x:c>
      <x:c r="G77" s="22" t="str">
        <x:f t="shared" ref="G77:G108" si="6">IF(E77="","",E77*F77)</x:f>
      </x:c>
      <x:c r="H77" s="23" t="str">
        <x:f t="shared" ref="H77:H108" si="7">IF(A77="","",WEEKNUM(A77,21))</x:f>
      </x:c>
      <x:c r="I77" s="21" t="str">
        <x:f t="shared" ref="I77:I108" si="8">IF(A77="","",CHOOSE(MONTH(A77),"Januar","Februar","März","April","Mai","Juni","Juli","August","September","Oktober","November","Dezember")&amp;" "&amp;YEAR(A77))</x:f>
      </x:c>
      <x:c r="J77" s="21"/>
      <x:c r="K77" s="21"/>
    </x:row>
    <x:row r="78" ht="54" customHeight="1">
      <x:c r="A78" s="20"/>
      <x:c r="B78" s="21"/>
      <x:c r="C78" s="21"/>
      <x:c r="D78" s="21"/>
      <x:c r="E78" s="22"/>
      <x:c r="F78" s="22" t="str">
        <x:f>IF(A78="","",Einstellungen!$B$5)</x:f>
      </x:c>
      <x:c r="G78" s="22" t="str">
        <x:f t="shared" si="6"/>
      </x:c>
      <x:c r="H78" s="23" t="str">
        <x:f t="shared" si="7"/>
      </x:c>
      <x:c r="I78" s="21" t="str">
        <x:f t="shared" si="8"/>
      </x:c>
      <x:c r="J78" s="21"/>
      <x:c r="K78" s="21"/>
    </x:row>
    <x:row r="79" ht="54" customHeight="1">
      <x:c r="A79" s="20"/>
      <x:c r="B79" s="21"/>
      <x:c r="C79" s="21"/>
      <x:c r="D79" s="21"/>
      <x:c r="E79" s="22"/>
      <x:c r="F79" s="22" t="str">
        <x:f>IF(A79="","",Einstellungen!$B$5)</x:f>
      </x:c>
      <x:c r="G79" s="22" t="str">
        <x:f t="shared" si="6"/>
      </x:c>
      <x:c r="H79" s="23" t="str">
        <x:f t="shared" si="7"/>
      </x:c>
      <x:c r="I79" s="21" t="str">
        <x:f t="shared" si="8"/>
      </x:c>
      <x:c r="J79" s="21"/>
      <x:c r="K79" s="21"/>
    </x:row>
    <x:row r="80" ht="54" customHeight="1">
      <x:c r="A80" s="20"/>
      <x:c r="B80" s="21"/>
      <x:c r="C80" s="21"/>
      <x:c r="D80" s="21"/>
      <x:c r="E80" s="22"/>
      <x:c r="F80" s="22" t="str">
        <x:f>IF(A80="","",Einstellungen!$B$5)</x:f>
      </x:c>
      <x:c r="G80" s="22" t="str">
        <x:f t="shared" si="6"/>
      </x:c>
      <x:c r="H80" s="23" t="str">
        <x:f t="shared" si="7"/>
      </x:c>
      <x:c r="I80" s="21" t="str">
        <x:f t="shared" si="8"/>
      </x:c>
      <x:c r="J80" s="21"/>
      <x:c r="K80" s="21"/>
    </x:row>
    <x:row r="81" ht="54" customHeight="1">
      <x:c r="A81" s="20"/>
      <x:c r="B81" s="21"/>
      <x:c r="C81" s="21"/>
      <x:c r="D81" s="21"/>
      <x:c r="E81" s="22"/>
      <x:c r="F81" s="22" t="str">
        <x:f>IF(A81="","",Einstellungen!$B$5)</x:f>
      </x:c>
      <x:c r="G81" s="22" t="str">
        <x:f t="shared" si="6"/>
      </x:c>
      <x:c r="H81" s="23" t="str">
        <x:f t="shared" si="7"/>
      </x:c>
      <x:c r="I81" s="21" t="str">
        <x:f t="shared" si="8"/>
      </x:c>
      <x:c r="J81" s="21"/>
      <x:c r="K81" s="21"/>
    </x:row>
    <x:row r="82" ht="54" customHeight="1">
      <x:c r="A82" s="20"/>
      <x:c r="B82" s="21"/>
      <x:c r="C82" s="21"/>
      <x:c r="D82" s="21"/>
      <x:c r="E82" s="22"/>
      <x:c r="F82" s="22" t="str">
        <x:f>IF(A82="","",Einstellungen!$B$5)</x:f>
      </x:c>
      <x:c r="G82" s="22" t="str">
        <x:f t="shared" si="6"/>
      </x:c>
      <x:c r="H82" s="23" t="str">
        <x:f t="shared" si="7"/>
      </x:c>
      <x:c r="I82" s="21" t="str">
        <x:f t="shared" si="8"/>
      </x:c>
      <x:c r="J82" s="21"/>
      <x:c r="K82" s="21"/>
    </x:row>
    <x:row r="83" ht="54" customHeight="1">
      <x:c r="A83" s="20"/>
      <x:c r="B83" s="21"/>
      <x:c r="C83" s="21"/>
      <x:c r="D83" s="21"/>
      <x:c r="E83" s="22"/>
      <x:c r="F83" s="22" t="str">
        <x:f>IF(A83="","",Einstellungen!$B$5)</x:f>
      </x:c>
      <x:c r="G83" s="22" t="str">
        <x:f t="shared" si="6"/>
      </x:c>
      <x:c r="H83" s="23" t="str">
        <x:f t="shared" si="7"/>
      </x:c>
      <x:c r="I83" s="21" t="str">
        <x:f t="shared" si="8"/>
      </x:c>
      <x:c r="J83" s="21"/>
      <x:c r="K83" s="21"/>
    </x:row>
    <x:row r="84" ht="54" customHeight="1">
      <x:c r="A84" s="20"/>
      <x:c r="B84" s="21"/>
      <x:c r="C84" s="21"/>
      <x:c r="D84" s="21"/>
      <x:c r="E84" s="22"/>
      <x:c r="F84" s="22" t="str">
        <x:f>IF(A84="","",Einstellungen!$B$5)</x:f>
      </x:c>
      <x:c r="G84" s="22" t="str">
        <x:f t="shared" si="6"/>
      </x:c>
      <x:c r="H84" s="23" t="str">
        <x:f t="shared" si="7"/>
      </x:c>
      <x:c r="I84" s="21" t="str">
        <x:f t="shared" si="8"/>
      </x:c>
      <x:c r="J84" s="21"/>
      <x:c r="K84" s="21"/>
    </x:row>
    <x:row r="85" ht="54" customHeight="1">
      <x:c r="A85" s="20"/>
      <x:c r="B85" s="21"/>
      <x:c r="C85" s="21"/>
      <x:c r="D85" s="21"/>
      <x:c r="E85" s="22"/>
      <x:c r="F85" s="22" t="str">
        <x:f>IF(A85="","",Einstellungen!$B$5)</x:f>
      </x:c>
      <x:c r="G85" s="22" t="str">
        <x:f t="shared" si="6"/>
      </x:c>
      <x:c r="H85" s="23" t="str">
        <x:f t="shared" si="7"/>
      </x:c>
      <x:c r="I85" s="21" t="str">
        <x:f t="shared" si="8"/>
      </x:c>
      <x:c r="J85" s="21"/>
      <x:c r="K85" s="21"/>
    </x:row>
    <x:row r="86" ht="54" customHeight="1">
      <x:c r="A86" s="20"/>
      <x:c r="B86" s="21"/>
      <x:c r="C86" s="21"/>
      <x:c r="D86" s="21"/>
      <x:c r="E86" s="22"/>
      <x:c r="F86" s="22" t="str">
        <x:f>IF(A86="","",Einstellungen!$B$5)</x:f>
      </x:c>
      <x:c r="G86" s="22" t="str">
        <x:f t="shared" si="6"/>
      </x:c>
      <x:c r="H86" s="23" t="str">
        <x:f t="shared" si="7"/>
      </x:c>
      <x:c r="I86" s="21" t="str">
        <x:f t="shared" si="8"/>
      </x:c>
      <x:c r="J86" s="21"/>
      <x:c r="K86" s="21"/>
    </x:row>
    <x:row r="87" ht="54" customHeight="1">
      <x:c r="A87" s="20"/>
      <x:c r="B87" s="21"/>
      <x:c r="C87" s="21"/>
      <x:c r="D87" s="21"/>
      <x:c r="E87" s="22"/>
      <x:c r="F87" s="22" t="str">
        <x:f>IF(A87="","",Einstellungen!$B$5)</x:f>
      </x:c>
      <x:c r="G87" s="22" t="str">
        <x:f t="shared" si="6"/>
      </x:c>
      <x:c r="H87" s="23" t="str">
        <x:f t="shared" si="7"/>
      </x:c>
      <x:c r="I87" s="21" t="str">
        <x:f t="shared" si="8"/>
      </x:c>
      <x:c r="J87" s="21"/>
      <x:c r="K87" s="21"/>
    </x:row>
    <x:row r="88" ht="54" customHeight="1">
      <x:c r="A88" s="20"/>
      <x:c r="B88" s="21"/>
      <x:c r="C88" s="21"/>
      <x:c r="D88" s="21"/>
      <x:c r="E88" s="22"/>
      <x:c r="F88" s="22" t="str">
        <x:f>IF(A88="","",Einstellungen!$B$5)</x:f>
      </x:c>
      <x:c r="G88" s="22" t="str">
        <x:f t="shared" si="6"/>
      </x:c>
      <x:c r="H88" s="23" t="str">
        <x:f t="shared" si="7"/>
      </x:c>
      <x:c r="I88" s="21" t="str">
        <x:f t="shared" si="8"/>
      </x:c>
      <x:c r="J88" s="21"/>
      <x:c r="K88" s="21"/>
    </x:row>
    <x:row r="89" ht="54" customHeight="1">
      <x:c r="A89" s="20"/>
      <x:c r="B89" s="21"/>
      <x:c r="C89" s="21"/>
      <x:c r="D89" s="21"/>
      <x:c r="E89" s="22"/>
      <x:c r="F89" s="22" t="str">
        <x:f>IF(A89="","",Einstellungen!$B$5)</x:f>
      </x:c>
      <x:c r="G89" s="22" t="str">
        <x:f t="shared" si="6"/>
      </x:c>
      <x:c r="H89" s="23" t="str">
        <x:f t="shared" si="7"/>
      </x:c>
      <x:c r="I89" s="21" t="str">
        <x:f t="shared" si="8"/>
      </x:c>
      <x:c r="J89" s="21"/>
      <x:c r="K89" s="21"/>
    </x:row>
    <x:row r="90" ht="54" customHeight="1">
      <x:c r="A90" s="20"/>
      <x:c r="B90" s="21"/>
      <x:c r="C90" s="21"/>
      <x:c r="D90" s="21"/>
      <x:c r="E90" s="22"/>
      <x:c r="F90" s="22" t="str">
        <x:f>IF(A90="","",Einstellungen!$B$5)</x:f>
      </x:c>
      <x:c r="G90" s="22" t="str">
        <x:f t="shared" si="6"/>
      </x:c>
      <x:c r="H90" s="23" t="str">
        <x:f t="shared" si="7"/>
      </x:c>
      <x:c r="I90" s="21" t="str">
        <x:f t="shared" si="8"/>
      </x:c>
      <x:c r="J90" s="21"/>
      <x:c r="K90" s="21"/>
    </x:row>
    <x:row r="91" ht="54" customHeight="1">
      <x:c r="A91" s="20"/>
      <x:c r="B91" s="21"/>
      <x:c r="C91" s="21"/>
      <x:c r="D91" s="21"/>
      <x:c r="E91" s="22"/>
      <x:c r="F91" s="22" t="str">
        <x:f>IF(A91="","",Einstellungen!$B$5)</x:f>
      </x:c>
      <x:c r="G91" s="22" t="str">
        <x:f t="shared" si="6"/>
      </x:c>
      <x:c r="H91" s="23" t="str">
        <x:f t="shared" si="7"/>
      </x:c>
      <x:c r="I91" s="21" t="str">
        <x:f t="shared" si="8"/>
      </x:c>
      <x:c r="J91" s="21"/>
      <x:c r="K91" s="21"/>
    </x:row>
    <x:row r="92" ht="54" customHeight="1">
      <x:c r="A92" s="20"/>
      <x:c r="B92" s="21"/>
      <x:c r="C92" s="21"/>
      <x:c r="D92" s="21"/>
      <x:c r="E92" s="22"/>
      <x:c r="F92" s="22" t="str">
        <x:f>IF(A92="","",Einstellungen!$B$5)</x:f>
      </x:c>
      <x:c r="G92" s="22" t="str">
        <x:f t="shared" si="6"/>
      </x:c>
      <x:c r="H92" s="23" t="str">
        <x:f t="shared" si="7"/>
      </x:c>
      <x:c r="I92" s="21" t="str">
        <x:f t="shared" si="8"/>
      </x:c>
      <x:c r="J92" s="21"/>
      <x:c r="K92" s="21"/>
    </x:row>
    <x:row r="93" ht="54" customHeight="1">
      <x:c r="A93" s="20"/>
      <x:c r="B93" s="21"/>
      <x:c r="C93" s="21"/>
      <x:c r="D93" s="21"/>
      <x:c r="E93" s="22"/>
      <x:c r="F93" s="22" t="str">
        <x:f>IF(A93="","",Einstellungen!$B$5)</x:f>
      </x:c>
      <x:c r="G93" s="22" t="str">
        <x:f t="shared" si="6"/>
      </x:c>
      <x:c r="H93" s="23" t="str">
        <x:f t="shared" si="7"/>
      </x:c>
      <x:c r="I93" s="21" t="str">
        <x:f t="shared" si="8"/>
      </x:c>
      <x:c r="J93" s="21"/>
      <x:c r="K93" s="21"/>
    </x:row>
    <x:row r="94" ht="54" customHeight="1">
      <x:c r="A94" s="20"/>
      <x:c r="B94" s="21"/>
      <x:c r="C94" s="21"/>
      <x:c r="D94" s="21"/>
      <x:c r="E94" s="22"/>
      <x:c r="F94" s="22" t="str">
        <x:f>IF(A94="","",Einstellungen!$B$5)</x:f>
      </x:c>
      <x:c r="G94" s="22" t="str">
        <x:f t="shared" si="6"/>
      </x:c>
      <x:c r="H94" s="23" t="str">
        <x:f t="shared" si="7"/>
      </x:c>
      <x:c r="I94" s="21" t="str">
        <x:f t="shared" si="8"/>
      </x:c>
      <x:c r="J94" s="21"/>
      <x:c r="K94" s="21"/>
    </x:row>
    <x:row r="95" ht="54" customHeight="1">
      <x:c r="A95" s="20"/>
      <x:c r="B95" s="21"/>
      <x:c r="C95" s="21"/>
      <x:c r="D95" s="21"/>
      <x:c r="E95" s="22"/>
      <x:c r="F95" s="22" t="str">
        <x:f>IF(A95="","",Einstellungen!$B$5)</x:f>
      </x:c>
      <x:c r="G95" s="22" t="str">
        <x:f t="shared" si="6"/>
      </x:c>
      <x:c r="H95" s="23" t="str">
        <x:f t="shared" si="7"/>
      </x:c>
      <x:c r="I95" s="21" t="str">
        <x:f t="shared" si="8"/>
      </x:c>
      <x:c r="J95" s="21"/>
      <x:c r="K95" s="21"/>
    </x:row>
    <x:row r="96" ht="54" customHeight="1">
      <x:c r="A96" s="20"/>
      <x:c r="B96" s="21"/>
      <x:c r="C96" s="21"/>
      <x:c r="D96" s="21"/>
      <x:c r="E96" s="22"/>
      <x:c r="F96" s="22" t="str">
        <x:f>IF(A96="","",Einstellungen!$B$5)</x:f>
      </x:c>
      <x:c r="G96" s="22" t="str">
        <x:f t="shared" si="6"/>
      </x:c>
      <x:c r="H96" s="23" t="str">
        <x:f t="shared" si="7"/>
      </x:c>
      <x:c r="I96" s="21" t="str">
        <x:f t="shared" si="8"/>
      </x:c>
      <x:c r="J96" s="21"/>
      <x:c r="K96" s="21"/>
    </x:row>
    <x:row r="97" ht="54" customHeight="1">
      <x:c r="A97" s="20"/>
      <x:c r="B97" s="21"/>
      <x:c r="C97" s="21"/>
      <x:c r="D97" s="21"/>
      <x:c r="E97" s="22"/>
      <x:c r="F97" s="22" t="str">
        <x:f>IF(A97="","",Einstellungen!$B$5)</x:f>
      </x:c>
      <x:c r="G97" s="22" t="str">
        <x:f t="shared" si="6"/>
      </x:c>
      <x:c r="H97" s="23" t="str">
        <x:f t="shared" si="7"/>
      </x:c>
      <x:c r="I97" s="21" t="str">
        <x:f t="shared" si="8"/>
      </x:c>
      <x:c r="J97" s="21"/>
      <x:c r="K97" s="21"/>
    </x:row>
    <x:row r="98" ht="54" customHeight="1">
      <x:c r="A98" s="20"/>
      <x:c r="B98" s="21"/>
      <x:c r="C98" s="21"/>
      <x:c r="D98" s="21"/>
      <x:c r="E98" s="22"/>
      <x:c r="F98" s="22" t="str">
        <x:f>IF(A98="","",Einstellungen!$B$5)</x:f>
      </x:c>
      <x:c r="G98" s="22" t="str">
        <x:f t="shared" si="6"/>
      </x:c>
      <x:c r="H98" s="23" t="str">
        <x:f t="shared" si="7"/>
      </x:c>
      <x:c r="I98" s="21" t="str">
        <x:f t="shared" si="8"/>
      </x:c>
      <x:c r="J98" s="21"/>
      <x:c r="K98" s="21"/>
    </x:row>
    <x:row r="99" ht="54" customHeight="1">
      <x:c r="A99" s="20"/>
      <x:c r="B99" s="21"/>
      <x:c r="C99" s="21"/>
      <x:c r="D99" s="21"/>
      <x:c r="E99" s="22"/>
      <x:c r="F99" s="22" t="str">
        <x:f>IF(A99="","",Einstellungen!$B$5)</x:f>
      </x:c>
      <x:c r="G99" s="22" t="str">
        <x:f t="shared" si="6"/>
      </x:c>
      <x:c r="H99" s="23" t="str">
        <x:f t="shared" si="7"/>
      </x:c>
      <x:c r="I99" s="21" t="str">
        <x:f t="shared" si="8"/>
      </x:c>
      <x:c r="J99" s="21"/>
      <x:c r="K99" s="21"/>
    </x:row>
    <x:row r="100" ht="54" customHeight="1">
      <x:c r="A100" s="20"/>
      <x:c r="B100" s="21"/>
      <x:c r="C100" s="21"/>
      <x:c r="D100" s="21"/>
      <x:c r="E100" s="22"/>
      <x:c r="F100" s="22" t="str">
        <x:f>IF(A100="","",Einstellungen!$B$5)</x:f>
      </x:c>
      <x:c r="G100" s="22" t="str">
        <x:f t="shared" si="6"/>
      </x:c>
      <x:c r="H100" s="23" t="str">
        <x:f t="shared" si="7"/>
      </x:c>
      <x:c r="I100" s="21" t="str">
        <x:f t="shared" si="8"/>
      </x:c>
      <x:c r="J100" s="21"/>
      <x:c r="K100" s="21"/>
    </x:row>
    <x:row r="101" ht="54" customHeight="1">
      <x:c r="A101" s="20"/>
      <x:c r="B101" s="21"/>
      <x:c r="C101" s="21"/>
      <x:c r="D101" s="21"/>
      <x:c r="E101" s="22"/>
      <x:c r="F101" s="22" t="str">
        <x:f>IF(A101="","",Einstellungen!$B$5)</x:f>
      </x:c>
      <x:c r="G101" s="22" t="str">
        <x:f t="shared" si="6"/>
      </x:c>
      <x:c r="H101" s="23" t="str">
        <x:f t="shared" si="7"/>
      </x:c>
      <x:c r="I101" s="21" t="str">
        <x:f t="shared" si="8"/>
      </x:c>
      <x:c r="J101" s="21"/>
      <x:c r="K101" s="21"/>
    </x:row>
    <x:row r="102" ht="54" customHeight="1">
      <x:c r="A102" s="20"/>
      <x:c r="B102" s="21"/>
      <x:c r="C102" s="21"/>
      <x:c r="D102" s="21"/>
      <x:c r="E102" s="22"/>
      <x:c r="F102" s="22" t="str">
        <x:f>IF(A102="","",Einstellungen!$B$5)</x:f>
      </x:c>
      <x:c r="G102" s="22" t="str">
        <x:f t="shared" si="6"/>
      </x:c>
      <x:c r="H102" s="23" t="str">
        <x:f t="shared" si="7"/>
      </x:c>
      <x:c r="I102" s="21" t="str">
        <x:f t="shared" si="8"/>
      </x:c>
      <x:c r="J102" s="21"/>
      <x:c r="K102" s="21"/>
    </x:row>
    <x:row r="103" ht="54" customHeight="1">
      <x:c r="A103" s="20"/>
      <x:c r="B103" s="21"/>
      <x:c r="C103" s="21"/>
      <x:c r="D103" s="21"/>
      <x:c r="E103" s="22"/>
      <x:c r="F103" s="22" t="str">
        <x:f>IF(A103="","",Einstellungen!$B$5)</x:f>
      </x:c>
      <x:c r="G103" s="22" t="str">
        <x:f t="shared" si="6"/>
      </x:c>
      <x:c r="H103" s="23" t="str">
        <x:f t="shared" si="7"/>
      </x:c>
      <x:c r="I103" s="21" t="str">
        <x:f t="shared" si="8"/>
      </x:c>
      <x:c r="J103" s="21"/>
      <x:c r="K103" s="21"/>
    </x:row>
    <x:row r="104" ht="54" customHeight="1">
      <x:c r="A104" s="20"/>
      <x:c r="B104" s="21"/>
      <x:c r="C104" s="21"/>
      <x:c r="D104" s="21"/>
      <x:c r="E104" s="22"/>
      <x:c r="F104" s="22" t="str">
        <x:f>IF(A104="","",Einstellungen!$B$5)</x:f>
      </x:c>
      <x:c r="G104" s="22" t="str">
        <x:f t="shared" si="6"/>
      </x:c>
      <x:c r="H104" s="23" t="str">
        <x:f t="shared" si="7"/>
      </x:c>
      <x:c r="I104" s="21" t="str">
        <x:f t="shared" si="8"/>
      </x:c>
      <x:c r="J104" s="21"/>
      <x:c r="K104" s="21"/>
    </x:row>
    <x:row r="105" ht="54" customHeight="1">
      <x:c r="A105" s="20"/>
      <x:c r="B105" s="21"/>
      <x:c r="C105" s="21"/>
      <x:c r="D105" s="21"/>
      <x:c r="E105" s="22"/>
      <x:c r="F105" s="22" t="str">
        <x:f>IF(A105="","",Einstellungen!$B$5)</x:f>
      </x:c>
      <x:c r="G105" s="22" t="str">
        <x:f t="shared" si="6"/>
      </x:c>
      <x:c r="H105" s="23" t="str">
        <x:f t="shared" si="7"/>
      </x:c>
      <x:c r="I105" s="21" t="str">
        <x:f t="shared" si="8"/>
      </x:c>
      <x:c r="J105" s="21"/>
      <x:c r="K105" s="21"/>
    </x:row>
    <x:row r="106" ht="54" customHeight="1">
      <x:c r="A106" s="20"/>
      <x:c r="B106" s="21"/>
      <x:c r="C106" s="21"/>
      <x:c r="D106" s="21"/>
      <x:c r="E106" s="22"/>
      <x:c r="F106" s="22" t="str">
        <x:f>IF(A106="","",Einstellungen!$B$5)</x:f>
      </x:c>
      <x:c r="G106" s="22" t="str">
        <x:f t="shared" si="6"/>
      </x:c>
      <x:c r="H106" s="23" t="str">
        <x:f t="shared" si="7"/>
      </x:c>
      <x:c r="I106" s="21" t="str">
        <x:f t="shared" si="8"/>
      </x:c>
      <x:c r="J106" s="21"/>
      <x:c r="K106" s="21"/>
    </x:row>
    <x:row r="107" ht="54" customHeight="1">
      <x:c r="A107" s="20"/>
      <x:c r="B107" s="21"/>
      <x:c r="C107" s="21"/>
      <x:c r="D107" s="21"/>
      <x:c r="E107" s="22"/>
      <x:c r="F107" s="22" t="str">
        <x:f>IF(A107="","",Einstellungen!$B$5)</x:f>
      </x:c>
      <x:c r="G107" s="22" t="str">
        <x:f t="shared" si="6"/>
      </x:c>
      <x:c r="H107" s="23" t="str">
        <x:f t="shared" si="7"/>
      </x:c>
      <x:c r="I107" s="21" t="str">
        <x:f t="shared" si="8"/>
      </x:c>
      <x:c r="J107" s="21"/>
      <x:c r="K107" s="21"/>
    </x:row>
    <x:row r="108" ht="54" customHeight="1">
      <x:c r="A108" s="20"/>
      <x:c r="B108" s="21"/>
      <x:c r="C108" s="21"/>
      <x:c r="D108" s="21"/>
      <x:c r="E108" s="22"/>
      <x:c r="F108" s="22" t="str">
        <x:f>IF(A108="","",Einstellungen!$B$5)</x:f>
      </x:c>
      <x:c r="G108" s="22" t="str">
        <x:f t="shared" si="6"/>
      </x:c>
      <x:c r="H108" s="23" t="str">
        <x:f t="shared" si="7"/>
      </x:c>
      <x:c r="I108" s="21" t="str">
        <x:f t="shared" si="8"/>
      </x:c>
      <x:c r="J108" s="21"/>
      <x:c r="K108" s="21"/>
    </x:row>
    <x:row r="109" ht="54" customHeight="1">
      <x:c r="A109" s="20"/>
      <x:c r="B109" s="21"/>
      <x:c r="C109" s="21"/>
      <x:c r="D109" s="21"/>
      <x:c r="E109" s="22"/>
      <x:c r="F109" s="22" t="str">
        <x:f>IF(A109="","",Einstellungen!$B$5)</x:f>
      </x:c>
      <x:c r="G109" s="22" t="str">
        <x:f t="shared" ref="G109:G140" si="9">IF(E109="","",E109*F109)</x:f>
      </x:c>
      <x:c r="H109" s="23" t="str">
        <x:f t="shared" ref="H109:H140" si="10">IF(A109="","",WEEKNUM(A109,21))</x:f>
      </x:c>
      <x:c r="I109" s="21" t="str">
        <x:f t="shared" ref="I109:I140" si="11">IF(A109="","",CHOOSE(MONTH(A109),"Januar","Februar","März","April","Mai","Juni","Juli","August","September","Oktober","November","Dezember")&amp;" "&amp;YEAR(A109))</x:f>
      </x:c>
      <x:c r="J109" s="21"/>
      <x:c r="K109" s="21"/>
    </x:row>
    <x:row r="110" ht="54" customHeight="1">
      <x:c r="A110" s="20"/>
      <x:c r="B110" s="21"/>
      <x:c r="C110" s="21"/>
      <x:c r="D110" s="21"/>
      <x:c r="E110" s="22"/>
      <x:c r="F110" s="22" t="str">
        <x:f>IF(A110="","",Einstellungen!$B$5)</x:f>
      </x:c>
      <x:c r="G110" s="22" t="str">
        <x:f t="shared" si="9"/>
      </x:c>
      <x:c r="H110" s="23" t="str">
        <x:f t="shared" si="10"/>
      </x:c>
      <x:c r="I110" s="21" t="str">
        <x:f t="shared" si="11"/>
      </x:c>
      <x:c r="J110" s="21"/>
      <x:c r="K110" s="21"/>
    </x:row>
    <x:row r="111" ht="54" customHeight="1">
      <x:c r="A111" s="20"/>
      <x:c r="B111" s="21"/>
      <x:c r="C111" s="21"/>
      <x:c r="D111" s="21"/>
      <x:c r="E111" s="22"/>
      <x:c r="F111" s="22" t="str">
        <x:f>IF(A111="","",Einstellungen!$B$5)</x:f>
      </x:c>
      <x:c r="G111" s="22" t="str">
        <x:f t="shared" si="9"/>
      </x:c>
      <x:c r="H111" s="23" t="str">
        <x:f t="shared" si="10"/>
      </x:c>
      <x:c r="I111" s="21" t="str">
        <x:f t="shared" si="11"/>
      </x:c>
      <x:c r="J111" s="21"/>
      <x:c r="K111" s="21"/>
    </x:row>
    <x:row r="112" ht="54" customHeight="1">
      <x:c r="A112" s="20"/>
      <x:c r="B112" s="21"/>
      <x:c r="C112" s="21"/>
      <x:c r="D112" s="21"/>
      <x:c r="E112" s="22"/>
      <x:c r="F112" s="22" t="str">
        <x:f>IF(A112="","",Einstellungen!$B$5)</x:f>
      </x:c>
      <x:c r="G112" s="22" t="str">
        <x:f t="shared" si="9"/>
      </x:c>
      <x:c r="H112" s="23" t="str">
        <x:f t="shared" si="10"/>
      </x:c>
      <x:c r="I112" s="21" t="str">
        <x:f t="shared" si="11"/>
      </x:c>
      <x:c r="J112" s="21"/>
      <x:c r="K112" s="21"/>
    </x:row>
    <x:row r="113" ht="54" customHeight="1">
      <x:c r="A113" s="20"/>
      <x:c r="B113" s="21"/>
      <x:c r="C113" s="21"/>
      <x:c r="D113" s="21"/>
      <x:c r="E113" s="22"/>
      <x:c r="F113" s="22" t="str">
        <x:f>IF(A113="","",Einstellungen!$B$5)</x:f>
      </x:c>
      <x:c r="G113" s="22" t="str">
        <x:f t="shared" si="9"/>
      </x:c>
      <x:c r="H113" s="23" t="str">
        <x:f t="shared" si="10"/>
      </x:c>
      <x:c r="I113" s="21" t="str">
        <x:f t="shared" si="11"/>
      </x:c>
      <x:c r="J113" s="21"/>
      <x:c r="K113" s="21"/>
    </x:row>
    <x:row r="114" ht="54" customHeight="1">
      <x:c r="A114" s="20"/>
      <x:c r="B114" s="21"/>
      <x:c r="C114" s="21"/>
      <x:c r="D114" s="21"/>
      <x:c r="E114" s="22"/>
      <x:c r="F114" s="22" t="str">
        <x:f>IF(A114="","",Einstellungen!$B$5)</x:f>
      </x:c>
      <x:c r="G114" s="22" t="str">
        <x:f t="shared" si="9"/>
      </x:c>
      <x:c r="H114" s="23" t="str">
        <x:f t="shared" si="10"/>
      </x:c>
      <x:c r="I114" s="21" t="str">
        <x:f t="shared" si="11"/>
      </x:c>
      <x:c r="J114" s="21"/>
      <x:c r="K114" s="21"/>
    </x:row>
    <x:row r="115" ht="54" customHeight="1">
      <x:c r="A115" s="20"/>
      <x:c r="B115" s="21"/>
      <x:c r="C115" s="21"/>
      <x:c r="D115" s="21"/>
      <x:c r="E115" s="22"/>
      <x:c r="F115" s="22" t="str">
        <x:f>IF(A115="","",Einstellungen!$B$5)</x:f>
      </x:c>
      <x:c r="G115" s="22" t="str">
        <x:f t="shared" si="9"/>
      </x:c>
      <x:c r="H115" s="23" t="str">
        <x:f t="shared" si="10"/>
      </x:c>
      <x:c r="I115" s="21" t="str">
        <x:f t="shared" si="11"/>
      </x:c>
      <x:c r="J115" s="21"/>
      <x:c r="K115" s="21"/>
    </x:row>
    <x:row r="116" ht="54" customHeight="1">
      <x:c r="A116" s="20"/>
      <x:c r="B116" s="21"/>
      <x:c r="C116" s="21"/>
      <x:c r="D116" s="21"/>
      <x:c r="E116" s="22"/>
      <x:c r="F116" s="22" t="str">
        <x:f>IF(A116="","",Einstellungen!$B$5)</x:f>
      </x:c>
      <x:c r="G116" s="22" t="str">
        <x:f t="shared" si="9"/>
      </x:c>
      <x:c r="H116" s="23" t="str">
        <x:f t="shared" si="10"/>
      </x:c>
      <x:c r="I116" s="21" t="str">
        <x:f t="shared" si="11"/>
      </x:c>
      <x:c r="J116" s="21"/>
      <x:c r="K116" s="21"/>
    </x:row>
    <x:row r="117" ht="54" customHeight="1">
      <x:c r="A117" s="20"/>
      <x:c r="B117" s="21"/>
      <x:c r="C117" s="21"/>
      <x:c r="D117" s="21"/>
      <x:c r="E117" s="22"/>
      <x:c r="F117" s="22" t="str">
        <x:f>IF(A117="","",Einstellungen!$B$5)</x:f>
      </x:c>
      <x:c r="G117" s="22" t="str">
        <x:f t="shared" si="9"/>
      </x:c>
      <x:c r="H117" s="23" t="str">
        <x:f t="shared" si="10"/>
      </x:c>
      <x:c r="I117" s="21" t="str">
        <x:f t="shared" si="11"/>
      </x:c>
      <x:c r="J117" s="21"/>
      <x:c r="K117" s="21"/>
    </x:row>
    <x:row r="118" ht="54" customHeight="1">
      <x:c r="A118" s="20"/>
      <x:c r="B118" s="21"/>
      <x:c r="C118" s="21"/>
      <x:c r="D118" s="21"/>
      <x:c r="E118" s="22"/>
      <x:c r="F118" s="22" t="str">
        <x:f>IF(A118="","",Einstellungen!$B$5)</x:f>
      </x:c>
      <x:c r="G118" s="22" t="str">
        <x:f t="shared" si="9"/>
      </x:c>
      <x:c r="H118" s="23" t="str">
        <x:f t="shared" si="10"/>
      </x:c>
      <x:c r="I118" s="21" t="str">
        <x:f t="shared" si="11"/>
      </x:c>
      <x:c r="J118" s="21"/>
      <x:c r="K118" s="21"/>
    </x:row>
    <x:row r="119" ht="54" customHeight="1">
      <x:c r="A119" s="20"/>
      <x:c r="B119" s="21"/>
      <x:c r="C119" s="21"/>
      <x:c r="D119" s="21"/>
      <x:c r="E119" s="22"/>
      <x:c r="F119" s="22" t="str">
        <x:f>IF(A119="","",Einstellungen!$B$5)</x:f>
      </x:c>
      <x:c r="G119" s="22" t="str">
        <x:f t="shared" si="9"/>
      </x:c>
      <x:c r="H119" s="23" t="str">
        <x:f t="shared" si="10"/>
      </x:c>
      <x:c r="I119" s="21" t="str">
        <x:f t="shared" si="11"/>
      </x:c>
      <x:c r="J119" s="21"/>
      <x:c r="K119" s="21"/>
    </x:row>
    <x:row r="120" ht="54" customHeight="1">
      <x:c r="A120" s="20"/>
      <x:c r="B120" s="21"/>
      <x:c r="C120" s="21"/>
      <x:c r="D120" s="21"/>
      <x:c r="E120" s="22"/>
      <x:c r="F120" s="22" t="str">
        <x:f>IF(A120="","",Einstellungen!$B$5)</x:f>
      </x:c>
      <x:c r="G120" s="22" t="str">
        <x:f t="shared" si="9"/>
      </x:c>
      <x:c r="H120" s="23" t="str">
        <x:f t="shared" si="10"/>
      </x:c>
      <x:c r="I120" s="21" t="str">
        <x:f t="shared" si="11"/>
      </x:c>
      <x:c r="J120" s="21"/>
      <x:c r="K120" s="21"/>
    </x:row>
    <x:row r="121" ht="54" customHeight="1">
      <x:c r="A121" s="20"/>
      <x:c r="B121" s="21"/>
      <x:c r="C121" s="21"/>
      <x:c r="D121" s="21"/>
      <x:c r="E121" s="22"/>
      <x:c r="F121" s="22" t="str">
        <x:f>IF(A121="","",Einstellungen!$B$5)</x:f>
      </x:c>
      <x:c r="G121" s="22" t="str">
        <x:f t="shared" si="9"/>
      </x:c>
      <x:c r="H121" s="23" t="str">
        <x:f t="shared" si="10"/>
      </x:c>
      <x:c r="I121" s="21" t="str">
        <x:f t="shared" si="11"/>
      </x:c>
      <x:c r="J121" s="21"/>
      <x:c r="K121" s="21"/>
    </x:row>
    <x:row r="122" ht="54" customHeight="1">
      <x:c r="A122" s="20"/>
      <x:c r="B122" s="21"/>
      <x:c r="C122" s="21"/>
      <x:c r="D122" s="21"/>
      <x:c r="E122" s="22"/>
      <x:c r="F122" s="22" t="str">
        <x:f>IF(A122="","",Einstellungen!$B$5)</x:f>
      </x:c>
      <x:c r="G122" s="22" t="str">
        <x:f t="shared" si="9"/>
      </x:c>
      <x:c r="H122" s="23" t="str">
        <x:f t="shared" si="10"/>
      </x:c>
      <x:c r="I122" s="21" t="str">
        <x:f t="shared" si="11"/>
      </x:c>
      <x:c r="J122" s="21"/>
      <x:c r="K122" s="21"/>
    </x:row>
    <x:row r="123" ht="54" customHeight="1">
      <x:c r="A123" s="20"/>
      <x:c r="B123" s="21"/>
      <x:c r="C123" s="21"/>
      <x:c r="D123" s="21"/>
      <x:c r="E123" s="22"/>
      <x:c r="F123" s="22" t="str">
        <x:f>IF(A123="","",Einstellungen!$B$5)</x:f>
      </x:c>
      <x:c r="G123" s="22" t="str">
        <x:f t="shared" si="9"/>
      </x:c>
      <x:c r="H123" s="23" t="str">
        <x:f t="shared" si="10"/>
      </x:c>
      <x:c r="I123" s="21" t="str">
        <x:f t="shared" si="11"/>
      </x:c>
      <x:c r="J123" s="21"/>
      <x:c r="K123" s="21"/>
    </x:row>
    <x:row r="124" ht="54" customHeight="1">
      <x:c r="A124" s="20"/>
      <x:c r="B124" s="21"/>
      <x:c r="C124" s="21"/>
      <x:c r="D124" s="21"/>
      <x:c r="E124" s="22"/>
      <x:c r="F124" s="22" t="str">
        <x:f>IF(A124="","",Einstellungen!$B$5)</x:f>
      </x:c>
      <x:c r="G124" s="22" t="str">
        <x:f t="shared" si="9"/>
      </x:c>
      <x:c r="H124" s="23" t="str">
        <x:f t="shared" si="10"/>
      </x:c>
      <x:c r="I124" s="21" t="str">
        <x:f t="shared" si="11"/>
      </x:c>
      <x:c r="J124" s="21"/>
      <x:c r="K124" s="21"/>
    </x:row>
    <x:row r="125" ht="54" customHeight="1">
      <x:c r="A125" s="20"/>
      <x:c r="B125" s="21"/>
      <x:c r="C125" s="21"/>
      <x:c r="D125" s="21"/>
      <x:c r="E125" s="22"/>
      <x:c r="F125" s="22" t="str">
        <x:f>IF(A125="","",Einstellungen!$B$5)</x:f>
      </x:c>
      <x:c r="G125" s="22" t="str">
        <x:f t="shared" si="9"/>
      </x:c>
      <x:c r="H125" s="23" t="str">
        <x:f t="shared" si="10"/>
      </x:c>
      <x:c r="I125" s="21" t="str">
        <x:f t="shared" si="11"/>
      </x:c>
      <x:c r="J125" s="21"/>
      <x:c r="K125" s="21"/>
    </x:row>
    <x:row r="126" ht="54" customHeight="1">
      <x:c r="A126" s="20"/>
      <x:c r="B126" s="21"/>
      <x:c r="C126" s="21"/>
      <x:c r="D126" s="21"/>
      <x:c r="E126" s="22"/>
      <x:c r="F126" s="22" t="str">
        <x:f>IF(A126="","",Einstellungen!$B$5)</x:f>
      </x:c>
      <x:c r="G126" s="22" t="str">
        <x:f t="shared" si="9"/>
      </x:c>
      <x:c r="H126" s="23" t="str">
        <x:f t="shared" si="10"/>
      </x:c>
      <x:c r="I126" s="21" t="str">
        <x:f t="shared" si="11"/>
      </x:c>
      <x:c r="J126" s="21"/>
      <x:c r="K126" s="21"/>
    </x:row>
    <x:row r="127" ht="54" customHeight="1">
      <x:c r="A127" s="20"/>
      <x:c r="B127" s="21"/>
      <x:c r="C127" s="21"/>
      <x:c r="D127" s="21"/>
      <x:c r="E127" s="22"/>
      <x:c r="F127" s="22" t="str">
        <x:f>IF(A127="","",Einstellungen!$B$5)</x:f>
      </x:c>
      <x:c r="G127" s="22" t="str">
        <x:f t="shared" si="9"/>
      </x:c>
      <x:c r="H127" s="23" t="str">
        <x:f t="shared" si="10"/>
      </x:c>
      <x:c r="I127" s="21" t="str">
        <x:f t="shared" si="11"/>
      </x:c>
      <x:c r="J127" s="21"/>
      <x:c r="K127" s="21"/>
    </x:row>
    <x:row r="128" ht="54" customHeight="1">
      <x:c r="A128" s="20"/>
      <x:c r="B128" s="21"/>
      <x:c r="C128" s="21"/>
      <x:c r="D128" s="21"/>
      <x:c r="E128" s="22"/>
      <x:c r="F128" s="22" t="str">
        <x:f>IF(A128="","",Einstellungen!$B$5)</x:f>
      </x:c>
      <x:c r="G128" s="22" t="str">
        <x:f t="shared" si="9"/>
      </x:c>
      <x:c r="H128" s="23" t="str">
        <x:f t="shared" si="10"/>
      </x:c>
      <x:c r="I128" s="21" t="str">
        <x:f t="shared" si="11"/>
      </x:c>
      <x:c r="J128" s="21"/>
      <x:c r="K128" s="21"/>
    </x:row>
    <x:row r="129" ht="54" customHeight="1">
      <x:c r="A129" s="20"/>
      <x:c r="B129" s="21"/>
      <x:c r="C129" s="21"/>
      <x:c r="D129" s="21"/>
      <x:c r="E129" s="22"/>
      <x:c r="F129" s="22" t="str">
        <x:f>IF(A129="","",Einstellungen!$B$5)</x:f>
      </x:c>
      <x:c r="G129" s="22" t="str">
        <x:f t="shared" si="9"/>
      </x:c>
      <x:c r="H129" s="23" t="str">
        <x:f t="shared" si="10"/>
      </x:c>
      <x:c r="I129" s="21" t="str">
        <x:f t="shared" si="11"/>
      </x:c>
      <x:c r="J129" s="21"/>
      <x:c r="K129" s="21"/>
    </x:row>
    <x:row r="130" ht="54" customHeight="1">
      <x:c r="A130" s="20"/>
      <x:c r="B130" s="21"/>
      <x:c r="C130" s="21"/>
      <x:c r="D130" s="21"/>
      <x:c r="E130" s="22"/>
      <x:c r="F130" s="22" t="str">
        <x:f>IF(A130="","",Einstellungen!$B$5)</x:f>
      </x:c>
      <x:c r="G130" s="22" t="str">
        <x:f t="shared" si="9"/>
      </x:c>
      <x:c r="H130" s="23" t="str">
        <x:f t="shared" si="10"/>
      </x:c>
      <x:c r="I130" s="21" t="str">
        <x:f t="shared" si="11"/>
      </x:c>
      <x:c r="J130" s="21"/>
      <x:c r="K130" s="21"/>
    </x:row>
    <x:row r="131" ht="54" customHeight="1">
      <x:c r="A131" s="20"/>
      <x:c r="B131" s="21"/>
      <x:c r="C131" s="21"/>
      <x:c r="D131" s="21"/>
      <x:c r="E131" s="22"/>
      <x:c r="F131" s="22" t="str">
        <x:f>IF(A131="","",Einstellungen!$B$5)</x:f>
      </x:c>
      <x:c r="G131" s="22" t="str">
        <x:f t="shared" si="9"/>
      </x:c>
      <x:c r="H131" s="23" t="str">
        <x:f t="shared" si="10"/>
      </x:c>
      <x:c r="I131" s="21" t="str">
        <x:f t="shared" si="11"/>
      </x:c>
      <x:c r="J131" s="21"/>
      <x:c r="K131" s="21"/>
    </x:row>
    <x:row r="132" ht="54" customHeight="1">
      <x:c r="A132" s="20"/>
      <x:c r="B132" s="21"/>
      <x:c r="C132" s="21"/>
      <x:c r="D132" s="21"/>
      <x:c r="E132" s="22"/>
      <x:c r="F132" s="22" t="str">
        <x:f>IF(A132="","",Einstellungen!$B$5)</x:f>
      </x:c>
      <x:c r="G132" s="22" t="str">
        <x:f t="shared" si="9"/>
      </x:c>
      <x:c r="H132" s="23" t="str">
        <x:f t="shared" si="10"/>
      </x:c>
      <x:c r="I132" s="21" t="str">
        <x:f t="shared" si="11"/>
      </x:c>
      <x:c r="J132" s="21"/>
      <x:c r="K132" s="21"/>
    </x:row>
    <x:row r="133" ht="54" customHeight="1">
      <x:c r="A133" s="20"/>
      <x:c r="B133" s="21"/>
      <x:c r="C133" s="21"/>
      <x:c r="D133" s="21"/>
      <x:c r="E133" s="22"/>
      <x:c r="F133" s="22" t="str">
        <x:f>IF(A133="","",Einstellungen!$B$5)</x:f>
      </x:c>
      <x:c r="G133" s="22" t="str">
        <x:f t="shared" si="9"/>
      </x:c>
      <x:c r="H133" s="23" t="str">
        <x:f t="shared" si="10"/>
      </x:c>
      <x:c r="I133" s="21" t="str">
        <x:f t="shared" si="11"/>
      </x:c>
      <x:c r="J133" s="21"/>
      <x:c r="K133" s="21"/>
    </x:row>
    <x:row r="134" ht="54" customHeight="1">
      <x:c r="A134" s="20"/>
      <x:c r="B134" s="21"/>
      <x:c r="C134" s="21"/>
      <x:c r="D134" s="21"/>
      <x:c r="E134" s="22"/>
      <x:c r="F134" s="22" t="str">
        <x:f>IF(A134="","",Einstellungen!$B$5)</x:f>
      </x:c>
      <x:c r="G134" s="22" t="str">
        <x:f t="shared" si="9"/>
      </x:c>
      <x:c r="H134" s="23" t="str">
        <x:f t="shared" si="10"/>
      </x:c>
      <x:c r="I134" s="21" t="str">
        <x:f t="shared" si="11"/>
      </x:c>
      <x:c r="J134" s="21"/>
      <x:c r="K134" s="21"/>
    </x:row>
    <x:row r="135" ht="54" customHeight="1">
      <x:c r="A135" s="20"/>
      <x:c r="B135" s="21"/>
      <x:c r="C135" s="21"/>
      <x:c r="D135" s="21"/>
      <x:c r="E135" s="22"/>
      <x:c r="F135" s="22" t="str">
        <x:f>IF(A135="","",Einstellungen!$B$5)</x:f>
      </x:c>
      <x:c r="G135" s="22" t="str">
        <x:f t="shared" si="9"/>
      </x:c>
      <x:c r="H135" s="23" t="str">
        <x:f t="shared" si="10"/>
      </x:c>
      <x:c r="I135" s="21" t="str">
        <x:f t="shared" si="11"/>
      </x:c>
      <x:c r="J135" s="21"/>
      <x:c r="K135" s="21"/>
    </x:row>
    <x:row r="136" ht="54" customHeight="1">
      <x:c r="A136" s="20"/>
      <x:c r="B136" s="21"/>
      <x:c r="C136" s="21"/>
      <x:c r="D136" s="21"/>
      <x:c r="E136" s="22"/>
      <x:c r="F136" s="22" t="str">
        <x:f>IF(A136="","",Einstellungen!$B$5)</x:f>
      </x:c>
      <x:c r="G136" s="22" t="str">
        <x:f t="shared" si="9"/>
      </x:c>
      <x:c r="H136" s="23" t="str">
        <x:f t="shared" si="10"/>
      </x:c>
      <x:c r="I136" s="21" t="str">
        <x:f t="shared" si="11"/>
      </x:c>
      <x:c r="J136" s="21"/>
      <x:c r="K136" s="21"/>
    </x:row>
    <x:row r="137" ht="54" customHeight="1">
      <x:c r="A137" s="20"/>
      <x:c r="B137" s="21"/>
      <x:c r="C137" s="21"/>
      <x:c r="D137" s="21"/>
      <x:c r="E137" s="22"/>
      <x:c r="F137" s="22" t="str">
        <x:f>IF(A137="","",Einstellungen!$B$5)</x:f>
      </x:c>
      <x:c r="G137" s="22" t="str">
        <x:f t="shared" si="9"/>
      </x:c>
      <x:c r="H137" s="23" t="str">
        <x:f t="shared" si="10"/>
      </x:c>
      <x:c r="I137" s="21" t="str">
        <x:f t="shared" si="11"/>
      </x:c>
      <x:c r="J137" s="21"/>
      <x:c r="K137" s="21"/>
    </x:row>
    <x:row r="138" ht="54" customHeight="1">
      <x:c r="A138" s="20"/>
      <x:c r="B138" s="21"/>
      <x:c r="C138" s="21"/>
      <x:c r="D138" s="21"/>
      <x:c r="E138" s="22"/>
      <x:c r="F138" s="22" t="str">
        <x:f>IF(A138="","",Einstellungen!$B$5)</x:f>
      </x:c>
      <x:c r="G138" s="22" t="str">
        <x:f t="shared" si="9"/>
      </x:c>
      <x:c r="H138" s="23" t="str">
        <x:f t="shared" si="10"/>
      </x:c>
      <x:c r="I138" s="21" t="str">
        <x:f t="shared" si="11"/>
      </x:c>
      <x:c r="J138" s="21"/>
      <x:c r="K138" s="21"/>
    </x:row>
    <x:row r="139" ht="54" customHeight="1">
      <x:c r="A139" s="20"/>
      <x:c r="B139" s="21"/>
      <x:c r="C139" s="21"/>
      <x:c r="D139" s="21"/>
      <x:c r="E139" s="22"/>
      <x:c r="F139" s="22" t="str">
        <x:f>IF(A139="","",Einstellungen!$B$5)</x:f>
      </x:c>
      <x:c r="G139" s="22" t="str">
        <x:f t="shared" si="9"/>
      </x:c>
      <x:c r="H139" s="23" t="str">
        <x:f t="shared" si="10"/>
      </x:c>
      <x:c r="I139" s="21" t="str">
        <x:f t="shared" si="11"/>
      </x:c>
      <x:c r="J139" s="21"/>
      <x:c r="K139" s="21"/>
    </x:row>
    <x:row r="140" ht="54" customHeight="1">
      <x:c r="A140" s="20"/>
      <x:c r="B140" s="21"/>
      <x:c r="C140" s="21"/>
      <x:c r="D140" s="21"/>
      <x:c r="E140" s="22"/>
      <x:c r="F140" s="22" t="str">
        <x:f>IF(A140="","",Einstellungen!$B$5)</x:f>
      </x:c>
      <x:c r="G140" s="22" t="str">
        <x:f t="shared" si="9"/>
      </x:c>
      <x:c r="H140" s="23" t="str">
        <x:f t="shared" si="10"/>
      </x:c>
      <x:c r="I140" s="21" t="str">
        <x:f t="shared" si="11"/>
      </x:c>
      <x:c r="J140" s="21"/>
      <x:c r="K140" s="21"/>
    </x:row>
    <x:row r="141" ht="54" customHeight="1">
      <x:c r="A141" s="20"/>
      <x:c r="B141" s="21"/>
      <x:c r="C141" s="21"/>
      <x:c r="D141" s="21"/>
      <x:c r="E141" s="22"/>
      <x:c r="F141" s="22" t="str">
        <x:f>IF(A141="","",Einstellungen!$B$5)</x:f>
      </x:c>
      <x:c r="G141" s="22" t="str">
        <x:f t="shared" ref="G141:G172" si="12">IF(E141="","",E141*F141)</x:f>
      </x:c>
      <x:c r="H141" s="23" t="str">
        <x:f t="shared" ref="H141:H172" si="13">IF(A141="","",WEEKNUM(A141,21))</x:f>
      </x:c>
      <x:c r="I141" s="21" t="str">
        <x:f t="shared" ref="I141:I172" si="14">IF(A141="","",CHOOSE(MONTH(A141),"Januar","Februar","März","April","Mai","Juni","Juli","August","September","Oktober","November","Dezember")&amp;" "&amp;YEAR(A141))</x:f>
      </x:c>
      <x:c r="J141" s="21"/>
      <x:c r="K141" s="21"/>
    </x:row>
    <x:row r="142" ht="54" customHeight="1">
      <x:c r="A142" s="20"/>
      <x:c r="B142" s="21"/>
      <x:c r="C142" s="21"/>
      <x:c r="D142" s="21"/>
      <x:c r="E142" s="22"/>
      <x:c r="F142" s="22" t="str">
        <x:f>IF(A142="","",Einstellungen!$B$5)</x:f>
      </x:c>
      <x:c r="G142" s="22" t="str">
        <x:f t="shared" si="12"/>
      </x:c>
      <x:c r="H142" s="23" t="str">
        <x:f t="shared" si="13"/>
      </x:c>
      <x:c r="I142" s="21" t="str">
        <x:f t="shared" si="14"/>
      </x:c>
      <x:c r="J142" s="21"/>
      <x:c r="K142" s="21"/>
    </x:row>
    <x:row r="143" ht="54" customHeight="1">
      <x:c r="A143" s="20"/>
      <x:c r="B143" s="21"/>
      <x:c r="C143" s="21"/>
      <x:c r="D143" s="21"/>
      <x:c r="E143" s="22"/>
      <x:c r="F143" s="22" t="str">
        <x:f>IF(A143="","",Einstellungen!$B$5)</x:f>
      </x:c>
      <x:c r="G143" s="22" t="str">
        <x:f t="shared" si="12"/>
      </x:c>
      <x:c r="H143" s="23" t="str">
        <x:f t="shared" si="13"/>
      </x:c>
      <x:c r="I143" s="21" t="str">
        <x:f t="shared" si="14"/>
      </x:c>
      <x:c r="J143" s="21"/>
      <x:c r="K143" s="21"/>
    </x:row>
    <x:row r="144" ht="54" customHeight="1">
      <x:c r="A144" s="20"/>
      <x:c r="B144" s="21"/>
      <x:c r="C144" s="21"/>
      <x:c r="D144" s="21"/>
      <x:c r="E144" s="22"/>
      <x:c r="F144" s="22" t="str">
        <x:f>IF(A144="","",Einstellungen!$B$5)</x:f>
      </x:c>
      <x:c r="G144" s="22" t="str">
        <x:f t="shared" si="12"/>
      </x:c>
      <x:c r="H144" s="23" t="str">
        <x:f t="shared" si="13"/>
      </x:c>
      <x:c r="I144" s="21" t="str">
        <x:f t="shared" si="14"/>
      </x:c>
      <x:c r="J144" s="21"/>
      <x:c r="K144" s="21"/>
    </x:row>
    <x:row r="145" ht="54" customHeight="1">
      <x:c r="A145" s="20"/>
      <x:c r="B145" s="21"/>
      <x:c r="C145" s="21"/>
      <x:c r="D145" s="21"/>
      <x:c r="E145" s="22"/>
      <x:c r="F145" s="22" t="str">
        <x:f>IF(A145="","",Einstellungen!$B$5)</x:f>
      </x:c>
      <x:c r="G145" s="22" t="str">
        <x:f t="shared" si="12"/>
      </x:c>
      <x:c r="H145" s="23" t="str">
        <x:f t="shared" si="13"/>
      </x:c>
      <x:c r="I145" s="21" t="str">
        <x:f t="shared" si="14"/>
      </x:c>
      <x:c r="J145" s="21"/>
      <x:c r="K145" s="21"/>
    </x:row>
    <x:row r="146" ht="54" customHeight="1">
      <x:c r="A146" s="20"/>
      <x:c r="B146" s="21"/>
      <x:c r="C146" s="21"/>
      <x:c r="D146" s="21"/>
      <x:c r="E146" s="22"/>
      <x:c r="F146" s="22" t="str">
        <x:f>IF(A146="","",Einstellungen!$B$5)</x:f>
      </x:c>
      <x:c r="G146" s="22" t="str">
        <x:f t="shared" si="12"/>
      </x:c>
      <x:c r="H146" s="23" t="str">
        <x:f t="shared" si="13"/>
      </x:c>
      <x:c r="I146" s="21" t="str">
        <x:f t="shared" si="14"/>
      </x:c>
      <x:c r="J146" s="21"/>
      <x:c r="K146" s="21"/>
    </x:row>
    <x:row r="147" ht="54" customHeight="1">
      <x:c r="A147" s="20"/>
      <x:c r="B147" s="21"/>
      <x:c r="C147" s="21"/>
      <x:c r="D147" s="21"/>
      <x:c r="E147" s="22"/>
      <x:c r="F147" s="22" t="str">
        <x:f>IF(A147="","",Einstellungen!$B$5)</x:f>
      </x:c>
      <x:c r="G147" s="22" t="str">
        <x:f t="shared" si="12"/>
      </x:c>
      <x:c r="H147" s="23" t="str">
        <x:f t="shared" si="13"/>
      </x:c>
      <x:c r="I147" s="21" t="str">
        <x:f t="shared" si="14"/>
      </x:c>
      <x:c r="J147" s="21"/>
      <x:c r="K147" s="21"/>
    </x:row>
    <x:row r="148" ht="54" customHeight="1">
      <x:c r="A148" s="20"/>
      <x:c r="B148" s="21"/>
      <x:c r="C148" s="21"/>
      <x:c r="D148" s="21"/>
      <x:c r="E148" s="22"/>
      <x:c r="F148" s="22" t="str">
        <x:f>IF(A148="","",Einstellungen!$B$5)</x:f>
      </x:c>
      <x:c r="G148" s="22" t="str">
        <x:f t="shared" si="12"/>
      </x:c>
      <x:c r="H148" s="23" t="str">
        <x:f t="shared" si="13"/>
      </x:c>
      <x:c r="I148" s="21" t="str">
        <x:f t="shared" si="14"/>
      </x:c>
      <x:c r="J148" s="21"/>
      <x:c r="K148" s="21"/>
    </x:row>
    <x:row r="149" ht="54" customHeight="1">
      <x:c r="A149" s="20"/>
      <x:c r="B149" s="21"/>
      <x:c r="C149" s="21"/>
      <x:c r="D149" s="21"/>
      <x:c r="E149" s="22"/>
      <x:c r="F149" s="22" t="str">
        <x:f>IF(A149="","",Einstellungen!$B$5)</x:f>
      </x:c>
      <x:c r="G149" s="22" t="str">
        <x:f t="shared" si="12"/>
      </x:c>
      <x:c r="H149" s="23" t="str">
        <x:f t="shared" si="13"/>
      </x:c>
      <x:c r="I149" s="21" t="str">
        <x:f t="shared" si="14"/>
      </x:c>
      <x:c r="J149" s="21"/>
      <x:c r="K149" s="21"/>
    </x:row>
    <x:row r="150" ht="54" customHeight="1">
      <x:c r="A150" s="20"/>
      <x:c r="B150" s="21"/>
      <x:c r="C150" s="21"/>
      <x:c r="D150" s="21"/>
      <x:c r="E150" s="22"/>
      <x:c r="F150" s="22" t="str">
        <x:f>IF(A150="","",Einstellungen!$B$5)</x:f>
      </x:c>
      <x:c r="G150" s="22" t="str">
        <x:f t="shared" si="12"/>
      </x:c>
      <x:c r="H150" s="23" t="str">
        <x:f t="shared" si="13"/>
      </x:c>
      <x:c r="I150" s="21" t="str">
        <x:f t="shared" si="14"/>
      </x:c>
      <x:c r="J150" s="21"/>
      <x:c r="K150" s="21"/>
    </x:row>
    <x:row r="151" ht="54" customHeight="1">
      <x:c r="A151" s="20"/>
      <x:c r="B151" s="21"/>
      <x:c r="C151" s="21"/>
      <x:c r="D151" s="21"/>
      <x:c r="E151" s="22"/>
      <x:c r="F151" s="22" t="str">
        <x:f>IF(A151="","",Einstellungen!$B$5)</x:f>
      </x:c>
      <x:c r="G151" s="22" t="str">
        <x:f t="shared" si="12"/>
      </x:c>
      <x:c r="H151" s="23" t="str">
        <x:f t="shared" si="13"/>
      </x:c>
      <x:c r="I151" s="21" t="str">
        <x:f t="shared" si="14"/>
      </x:c>
      <x:c r="J151" s="21"/>
      <x:c r="K151" s="21"/>
    </x:row>
    <x:row r="152" ht="54" customHeight="1">
      <x:c r="A152" s="20"/>
      <x:c r="B152" s="21"/>
      <x:c r="C152" s="21"/>
      <x:c r="D152" s="21"/>
      <x:c r="E152" s="22"/>
      <x:c r="F152" s="22" t="str">
        <x:f>IF(A152="","",Einstellungen!$B$5)</x:f>
      </x:c>
      <x:c r="G152" s="22" t="str">
        <x:f t="shared" si="12"/>
      </x:c>
      <x:c r="H152" s="23" t="str">
        <x:f t="shared" si="13"/>
      </x:c>
      <x:c r="I152" s="21" t="str">
        <x:f t="shared" si="14"/>
      </x:c>
      <x:c r="J152" s="21"/>
      <x:c r="K152" s="21"/>
    </x:row>
    <x:row r="153" ht="54" customHeight="1">
      <x:c r="A153" s="20"/>
      <x:c r="B153" s="21"/>
      <x:c r="C153" s="21"/>
      <x:c r="D153" s="21"/>
      <x:c r="E153" s="22"/>
      <x:c r="F153" s="22" t="str">
        <x:f>IF(A153="","",Einstellungen!$B$5)</x:f>
      </x:c>
      <x:c r="G153" s="22" t="str">
        <x:f t="shared" si="12"/>
      </x:c>
      <x:c r="H153" s="23" t="str">
        <x:f t="shared" si="13"/>
      </x:c>
      <x:c r="I153" s="21" t="str">
        <x:f t="shared" si="14"/>
      </x:c>
      <x:c r="J153" s="21"/>
      <x:c r="K153" s="21"/>
    </x:row>
    <x:row r="154" ht="54" customHeight="1">
      <x:c r="A154" s="20"/>
      <x:c r="B154" s="21"/>
      <x:c r="C154" s="21"/>
      <x:c r="D154" s="21"/>
      <x:c r="E154" s="22"/>
      <x:c r="F154" s="22" t="str">
        <x:f>IF(A154="","",Einstellungen!$B$5)</x:f>
      </x:c>
      <x:c r="G154" s="22" t="str">
        <x:f t="shared" si="12"/>
      </x:c>
      <x:c r="H154" s="23" t="str">
        <x:f t="shared" si="13"/>
      </x:c>
      <x:c r="I154" s="21" t="str">
        <x:f t="shared" si="14"/>
      </x:c>
      <x:c r="J154" s="21"/>
      <x:c r="K154" s="21"/>
    </x:row>
    <x:row r="155" ht="54" customHeight="1">
      <x:c r="A155" s="20"/>
      <x:c r="B155" s="21"/>
      <x:c r="C155" s="21"/>
      <x:c r="D155" s="21"/>
      <x:c r="E155" s="22"/>
      <x:c r="F155" s="22" t="str">
        <x:f>IF(A155="","",Einstellungen!$B$5)</x:f>
      </x:c>
      <x:c r="G155" s="22" t="str">
        <x:f t="shared" si="12"/>
      </x:c>
      <x:c r="H155" s="23" t="str">
        <x:f t="shared" si="13"/>
      </x:c>
      <x:c r="I155" s="21" t="str">
        <x:f t="shared" si="14"/>
      </x:c>
      <x:c r="J155" s="21"/>
      <x:c r="K155" s="21"/>
    </x:row>
    <x:row r="156" ht="54" customHeight="1">
      <x:c r="A156" s="20"/>
      <x:c r="B156" s="21"/>
      <x:c r="C156" s="21"/>
      <x:c r="D156" s="21"/>
      <x:c r="E156" s="22"/>
      <x:c r="F156" s="22" t="str">
        <x:f>IF(A156="","",Einstellungen!$B$5)</x:f>
      </x:c>
      <x:c r="G156" s="22" t="str">
        <x:f t="shared" si="12"/>
      </x:c>
      <x:c r="H156" s="23" t="str">
        <x:f t="shared" si="13"/>
      </x:c>
      <x:c r="I156" s="21" t="str">
        <x:f t="shared" si="14"/>
      </x:c>
      <x:c r="J156" s="21"/>
      <x:c r="K156" s="21"/>
    </x:row>
    <x:row r="157" ht="54" customHeight="1">
      <x:c r="A157" s="20"/>
      <x:c r="B157" s="21"/>
      <x:c r="C157" s="21"/>
      <x:c r="D157" s="21"/>
      <x:c r="E157" s="22"/>
      <x:c r="F157" s="22" t="str">
        <x:f>IF(A157="","",Einstellungen!$B$5)</x:f>
      </x:c>
      <x:c r="G157" s="22" t="str">
        <x:f t="shared" si="12"/>
      </x:c>
      <x:c r="H157" s="23" t="str">
        <x:f t="shared" si="13"/>
      </x:c>
      <x:c r="I157" s="21" t="str">
        <x:f t="shared" si="14"/>
      </x:c>
      <x:c r="J157" s="21"/>
      <x:c r="K157" s="21"/>
    </x:row>
    <x:row r="158" ht="54" customHeight="1">
      <x:c r="A158" s="20"/>
      <x:c r="B158" s="21"/>
      <x:c r="C158" s="21"/>
      <x:c r="D158" s="21"/>
      <x:c r="E158" s="22"/>
      <x:c r="F158" s="22" t="str">
        <x:f>IF(A158="","",Einstellungen!$B$5)</x:f>
      </x:c>
      <x:c r="G158" s="22" t="str">
        <x:f t="shared" si="12"/>
      </x:c>
      <x:c r="H158" s="23" t="str">
        <x:f t="shared" si="13"/>
      </x:c>
      <x:c r="I158" s="21" t="str">
        <x:f t="shared" si="14"/>
      </x:c>
      <x:c r="J158" s="21"/>
      <x:c r="K158" s="21"/>
    </x:row>
    <x:row r="159" ht="54" customHeight="1">
      <x:c r="A159" s="20"/>
      <x:c r="B159" s="21"/>
      <x:c r="C159" s="21"/>
      <x:c r="D159" s="21"/>
      <x:c r="E159" s="22"/>
      <x:c r="F159" s="22" t="str">
        <x:f>IF(A159="","",Einstellungen!$B$5)</x:f>
      </x:c>
      <x:c r="G159" s="22" t="str">
        <x:f t="shared" si="12"/>
      </x:c>
      <x:c r="H159" s="23" t="str">
        <x:f t="shared" si="13"/>
      </x:c>
      <x:c r="I159" s="21" t="str">
        <x:f t="shared" si="14"/>
      </x:c>
      <x:c r="J159" s="21"/>
      <x:c r="K159" s="21"/>
    </x:row>
    <x:row r="160" ht="54" customHeight="1">
      <x:c r="A160" s="20"/>
      <x:c r="B160" s="21"/>
      <x:c r="C160" s="21"/>
      <x:c r="D160" s="21"/>
      <x:c r="E160" s="22"/>
      <x:c r="F160" s="22" t="str">
        <x:f>IF(A160="","",Einstellungen!$B$5)</x:f>
      </x:c>
      <x:c r="G160" s="22" t="str">
        <x:f t="shared" si="12"/>
      </x:c>
      <x:c r="H160" s="23" t="str">
        <x:f t="shared" si="13"/>
      </x:c>
      <x:c r="I160" s="21" t="str">
        <x:f t="shared" si="14"/>
      </x:c>
      <x:c r="J160" s="21"/>
      <x:c r="K160" s="21"/>
    </x:row>
    <x:row r="161" ht="54" customHeight="1">
      <x:c r="A161" s="20"/>
      <x:c r="B161" s="21"/>
      <x:c r="C161" s="21"/>
      <x:c r="D161" s="21"/>
      <x:c r="E161" s="22"/>
      <x:c r="F161" s="22" t="str">
        <x:f>IF(A161="","",Einstellungen!$B$5)</x:f>
      </x:c>
      <x:c r="G161" s="22" t="str">
        <x:f t="shared" si="12"/>
      </x:c>
      <x:c r="H161" s="23" t="str">
        <x:f t="shared" si="13"/>
      </x:c>
      <x:c r="I161" s="21" t="str">
        <x:f t="shared" si="14"/>
      </x:c>
      <x:c r="J161" s="21"/>
      <x:c r="K161" s="21"/>
    </x:row>
    <x:row r="162" ht="54" customHeight="1">
      <x:c r="A162" s="20"/>
      <x:c r="B162" s="21"/>
      <x:c r="C162" s="21"/>
      <x:c r="D162" s="21"/>
      <x:c r="E162" s="22"/>
      <x:c r="F162" s="22" t="str">
        <x:f>IF(A162="","",Einstellungen!$B$5)</x:f>
      </x:c>
      <x:c r="G162" s="22" t="str">
        <x:f t="shared" si="12"/>
      </x:c>
      <x:c r="H162" s="23" t="str">
        <x:f t="shared" si="13"/>
      </x:c>
      <x:c r="I162" s="21" t="str">
        <x:f t="shared" si="14"/>
      </x:c>
      <x:c r="J162" s="21"/>
      <x:c r="K162" s="21"/>
    </x:row>
    <x:row r="163" ht="54" customHeight="1">
      <x:c r="A163" s="20"/>
      <x:c r="B163" s="21"/>
      <x:c r="C163" s="21"/>
      <x:c r="D163" s="21"/>
      <x:c r="E163" s="22"/>
      <x:c r="F163" s="22" t="str">
        <x:f>IF(A163="","",Einstellungen!$B$5)</x:f>
      </x:c>
      <x:c r="G163" s="22" t="str">
        <x:f t="shared" si="12"/>
      </x:c>
      <x:c r="H163" s="23" t="str">
        <x:f t="shared" si="13"/>
      </x:c>
      <x:c r="I163" s="21" t="str">
        <x:f t="shared" si="14"/>
      </x:c>
      <x:c r="J163" s="21"/>
      <x:c r="K163" s="21"/>
    </x:row>
    <x:row r="164" ht="54" customHeight="1">
      <x:c r="A164" s="20"/>
      <x:c r="B164" s="21"/>
      <x:c r="C164" s="21"/>
      <x:c r="D164" s="21"/>
      <x:c r="E164" s="22"/>
      <x:c r="F164" s="22" t="str">
        <x:f>IF(A164="","",Einstellungen!$B$5)</x:f>
      </x:c>
      <x:c r="G164" s="22" t="str">
        <x:f t="shared" si="12"/>
      </x:c>
      <x:c r="H164" s="23" t="str">
        <x:f t="shared" si="13"/>
      </x:c>
      <x:c r="I164" s="21" t="str">
        <x:f t="shared" si="14"/>
      </x:c>
      <x:c r="J164" s="21"/>
      <x:c r="K164" s="21"/>
    </x:row>
    <x:row r="165" ht="54" customHeight="1">
      <x:c r="A165" s="20"/>
      <x:c r="B165" s="21"/>
      <x:c r="C165" s="21"/>
      <x:c r="D165" s="21"/>
      <x:c r="E165" s="22"/>
      <x:c r="F165" s="22" t="str">
        <x:f>IF(A165="","",Einstellungen!$B$5)</x:f>
      </x:c>
      <x:c r="G165" s="22" t="str">
        <x:f t="shared" si="12"/>
      </x:c>
      <x:c r="H165" s="23" t="str">
        <x:f t="shared" si="13"/>
      </x:c>
      <x:c r="I165" s="21" t="str">
        <x:f t="shared" si="14"/>
      </x:c>
      <x:c r="J165" s="21"/>
      <x:c r="K165" s="21"/>
    </x:row>
    <x:row r="166" ht="54" customHeight="1">
      <x:c r="A166" s="20"/>
      <x:c r="B166" s="21"/>
      <x:c r="C166" s="21"/>
      <x:c r="D166" s="21"/>
      <x:c r="E166" s="22"/>
      <x:c r="F166" s="22" t="str">
        <x:f>IF(A166="","",Einstellungen!$B$5)</x:f>
      </x:c>
      <x:c r="G166" s="22" t="str">
        <x:f t="shared" si="12"/>
      </x:c>
      <x:c r="H166" s="23" t="str">
        <x:f t="shared" si="13"/>
      </x:c>
      <x:c r="I166" s="21" t="str">
        <x:f t="shared" si="14"/>
      </x:c>
      <x:c r="J166" s="21"/>
      <x:c r="K166" s="21"/>
    </x:row>
    <x:row r="167" ht="54" customHeight="1">
      <x:c r="A167" s="20"/>
      <x:c r="B167" s="21"/>
      <x:c r="C167" s="21"/>
      <x:c r="D167" s="21"/>
      <x:c r="E167" s="22"/>
      <x:c r="F167" s="22" t="str">
        <x:f>IF(A167="","",Einstellungen!$B$5)</x:f>
      </x:c>
      <x:c r="G167" s="22" t="str">
        <x:f t="shared" si="12"/>
      </x:c>
      <x:c r="H167" s="23" t="str">
        <x:f t="shared" si="13"/>
      </x:c>
      <x:c r="I167" s="21" t="str">
        <x:f t="shared" si="14"/>
      </x:c>
      <x:c r="J167" s="21"/>
      <x:c r="K167" s="21"/>
    </x:row>
    <x:row r="168" ht="54" customHeight="1">
      <x:c r="A168" s="20"/>
      <x:c r="B168" s="21"/>
      <x:c r="C168" s="21"/>
      <x:c r="D168" s="21"/>
      <x:c r="E168" s="22"/>
      <x:c r="F168" s="22" t="str">
        <x:f>IF(A168="","",Einstellungen!$B$5)</x:f>
      </x:c>
      <x:c r="G168" s="22" t="str">
        <x:f t="shared" si="12"/>
      </x:c>
      <x:c r="H168" s="23" t="str">
        <x:f t="shared" si="13"/>
      </x:c>
      <x:c r="I168" s="21" t="str">
        <x:f t="shared" si="14"/>
      </x:c>
      <x:c r="J168" s="21"/>
      <x:c r="K168" s="21"/>
    </x:row>
    <x:row r="169" ht="54" customHeight="1">
      <x:c r="A169" s="20"/>
      <x:c r="B169" s="21"/>
      <x:c r="C169" s="21"/>
      <x:c r="D169" s="21"/>
      <x:c r="E169" s="22"/>
      <x:c r="F169" s="22" t="str">
        <x:f>IF(A169="","",Einstellungen!$B$5)</x:f>
      </x:c>
      <x:c r="G169" s="22" t="str">
        <x:f t="shared" si="12"/>
      </x:c>
      <x:c r="H169" s="23" t="str">
        <x:f t="shared" si="13"/>
      </x:c>
      <x:c r="I169" s="21" t="str">
        <x:f t="shared" si="14"/>
      </x:c>
      <x:c r="J169" s="21"/>
      <x:c r="K169" s="21"/>
    </x:row>
    <x:row r="170" ht="54" customHeight="1">
      <x:c r="A170" s="20"/>
      <x:c r="B170" s="21"/>
      <x:c r="C170" s="21"/>
      <x:c r="D170" s="21"/>
      <x:c r="E170" s="22"/>
      <x:c r="F170" s="22" t="str">
        <x:f>IF(A170="","",Einstellungen!$B$5)</x:f>
      </x:c>
      <x:c r="G170" s="22" t="str">
        <x:f t="shared" si="12"/>
      </x:c>
      <x:c r="H170" s="23" t="str">
        <x:f t="shared" si="13"/>
      </x:c>
      <x:c r="I170" s="21" t="str">
        <x:f t="shared" si="14"/>
      </x:c>
      <x:c r="J170" s="21"/>
      <x:c r="K170" s="21"/>
    </x:row>
    <x:row r="171" ht="54" customHeight="1">
      <x:c r="A171" s="20"/>
      <x:c r="B171" s="21"/>
      <x:c r="C171" s="21"/>
      <x:c r="D171" s="21"/>
      <x:c r="E171" s="22"/>
      <x:c r="F171" s="22" t="str">
        <x:f>IF(A171="","",Einstellungen!$B$5)</x:f>
      </x:c>
      <x:c r="G171" s="22" t="str">
        <x:f t="shared" si="12"/>
      </x:c>
      <x:c r="H171" s="23" t="str">
        <x:f t="shared" si="13"/>
      </x:c>
      <x:c r="I171" s="21" t="str">
        <x:f t="shared" si="14"/>
      </x:c>
      <x:c r="J171" s="21"/>
      <x:c r="K171" s="21"/>
    </x:row>
    <x:row r="172" ht="54" customHeight="1">
      <x:c r="A172" s="20"/>
      <x:c r="B172" s="21"/>
      <x:c r="C172" s="21"/>
      <x:c r="D172" s="21"/>
      <x:c r="E172" s="22"/>
      <x:c r="F172" s="22" t="str">
        <x:f>IF(A172="","",Einstellungen!$B$5)</x:f>
      </x:c>
      <x:c r="G172" s="22" t="str">
        <x:f t="shared" si="12"/>
      </x:c>
      <x:c r="H172" s="23" t="str">
        <x:f t="shared" si="13"/>
      </x:c>
      <x:c r="I172" s="21" t="str">
        <x:f t="shared" si="14"/>
      </x:c>
      <x:c r="J172" s="21"/>
      <x:c r="K172" s="21"/>
    </x:row>
    <x:row r="173" ht="54" customHeight="1">
      <x:c r="A173" s="20"/>
      <x:c r="B173" s="21"/>
      <x:c r="C173" s="21"/>
      <x:c r="D173" s="21"/>
      <x:c r="E173" s="22"/>
      <x:c r="F173" s="22" t="str">
        <x:f>IF(A173="","",Einstellungen!$B$5)</x:f>
      </x:c>
      <x:c r="G173" s="22" t="str">
        <x:f t="shared" ref="G173:G204" si="15">IF(E173="","",E173*F173)</x:f>
      </x:c>
      <x:c r="H173" s="23" t="str">
        <x:f t="shared" ref="H173:H204" si="16">IF(A173="","",WEEKNUM(A173,21))</x:f>
      </x:c>
      <x:c r="I173" s="21" t="str">
        <x:f t="shared" ref="I173:I204" si="17">IF(A173="","",CHOOSE(MONTH(A173),"Januar","Februar","März","April","Mai","Juni","Juli","August","September","Oktober","November","Dezember")&amp;" "&amp;YEAR(A173))</x:f>
      </x:c>
      <x:c r="J173" s="21"/>
      <x:c r="K173" s="21"/>
    </x:row>
    <x:row r="174" ht="54" customHeight="1">
      <x:c r="A174" s="20"/>
      <x:c r="B174" s="21"/>
      <x:c r="C174" s="21"/>
      <x:c r="D174" s="21"/>
      <x:c r="E174" s="22"/>
      <x:c r="F174" s="22" t="str">
        <x:f>IF(A174="","",Einstellungen!$B$5)</x:f>
      </x:c>
      <x:c r="G174" s="22" t="str">
        <x:f t="shared" si="15"/>
      </x:c>
      <x:c r="H174" s="23" t="str">
        <x:f t="shared" si="16"/>
      </x:c>
      <x:c r="I174" s="21" t="str">
        <x:f t="shared" si="17"/>
      </x:c>
      <x:c r="J174" s="21"/>
      <x:c r="K174" s="21"/>
    </x:row>
    <x:row r="175" ht="54" customHeight="1">
      <x:c r="A175" s="20"/>
      <x:c r="B175" s="21"/>
      <x:c r="C175" s="21"/>
      <x:c r="D175" s="21"/>
      <x:c r="E175" s="22"/>
      <x:c r="F175" s="22" t="str">
        <x:f>IF(A175="","",Einstellungen!$B$5)</x:f>
      </x:c>
      <x:c r="G175" s="22" t="str">
        <x:f t="shared" si="15"/>
      </x:c>
      <x:c r="H175" s="23" t="str">
        <x:f t="shared" si="16"/>
      </x:c>
      <x:c r="I175" s="21" t="str">
        <x:f t="shared" si="17"/>
      </x:c>
      <x:c r="J175" s="21"/>
      <x:c r="K175" s="21"/>
    </x:row>
    <x:row r="176" ht="54" customHeight="1">
      <x:c r="A176" s="20"/>
      <x:c r="B176" s="21"/>
      <x:c r="C176" s="21"/>
      <x:c r="D176" s="21"/>
      <x:c r="E176" s="22"/>
      <x:c r="F176" s="22" t="str">
        <x:f>IF(A176="","",Einstellungen!$B$5)</x:f>
      </x:c>
      <x:c r="G176" s="22" t="str">
        <x:f t="shared" si="15"/>
      </x:c>
      <x:c r="H176" s="23" t="str">
        <x:f t="shared" si="16"/>
      </x:c>
      <x:c r="I176" s="21" t="str">
        <x:f t="shared" si="17"/>
      </x:c>
      <x:c r="J176" s="21"/>
      <x:c r="K176" s="21"/>
    </x:row>
    <x:row r="177" ht="54" customHeight="1">
      <x:c r="A177" s="20"/>
      <x:c r="B177" s="21"/>
      <x:c r="C177" s="21"/>
      <x:c r="D177" s="21"/>
      <x:c r="E177" s="22"/>
      <x:c r="F177" s="22" t="str">
        <x:f>IF(A177="","",Einstellungen!$B$5)</x:f>
      </x:c>
      <x:c r="G177" s="22" t="str">
        <x:f t="shared" si="15"/>
      </x:c>
      <x:c r="H177" s="23" t="str">
        <x:f t="shared" si="16"/>
      </x:c>
      <x:c r="I177" s="21" t="str">
        <x:f t="shared" si="17"/>
      </x:c>
      <x:c r="J177" s="21"/>
      <x:c r="K177" s="21"/>
    </x:row>
    <x:row r="178" ht="54" customHeight="1">
      <x:c r="A178" s="20"/>
      <x:c r="B178" s="21"/>
      <x:c r="C178" s="21"/>
      <x:c r="D178" s="21"/>
      <x:c r="E178" s="22"/>
      <x:c r="F178" s="22" t="str">
        <x:f>IF(A178="","",Einstellungen!$B$5)</x:f>
      </x:c>
      <x:c r="G178" s="22" t="str">
        <x:f t="shared" si="15"/>
      </x:c>
      <x:c r="H178" s="23" t="str">
        <x:f t="shared" si="16"/>
      </x:c>
      <x:c r="I178" s="21" t="str">
        <x:f t="shared" si="17"/>
      </x:c>
      <x:c r="J178" s="21"/>
      <x:c r="K178" s="21"/>
    </x:row>
    <x:row r="179" ht="54" customHeight="1">
      <x:c r="A179" s="20"/>
      <x:c r="B179" s="21"/>
      <x:c r="C179" s="21"/>
      <x:c r="D179" s="21"/>
      <x:c r="E179" s="22"/>
      <x:c r="F179" s="22" t="str">
        <x:f>IF(A179="","",Einstellungen!$B$5)</x:f>
      </x:c>
      <x:c r="G179" s="22" t="str">
        <x:f t="shared" si="15"/>
      </x:c>
      <x:c r="H179" s="23" t="str">
        <x:f t="shared" si="16"/>
      </x:c>
      <x:c r="I179" s="21" t="str">
        <x:f t="shared" si="17"/>
      </x:c>
      <x:c r="J179" s="21"/>
      <x:c r="K179" s="21"/>
    </x:row>
    <x:row r="180" ht="54" customHeight="1">
      <x:c r="A180" s="20"/>
      <x:c r="B180" s="21"/>
      <x:c r="C180" s="21"/>
      <x:c r="D180" s="21"/>
      <x:c r="E180" s="22"/>
      <x:c r="F180" s="22" t="str">
        <x:f>IF(A180="","",Einstellungen!$B$5)</x:f>
      </x:c>
      <x:c r="G180" s="22" t="str">
        <x:f t="shared" si="15"/>
      </x:c>
      <x:c r="H180" s="23" t="str">
        <x:f t="shared" si="16"/>
      </x:c>
      <x:c r="I180" s="21" t="str">
        <x:f t="shared" si="17"/>
      </x:c>
      <x:c r="J180" s="21"/>
      <x:c r="K180" s="21"/>
    </x:row>
    <x:row r="181" ht="54" customHeight="1">
      <x:c r="A181" s="20"/>
      <x:c r="B181" s="21"/>
      <x:c r="C181" s="21"/>
      <x:c r="D181" s="21"/>
      <x:c r="E181" s="22"/>
      <x:c r="F181" s="22" t="str">
        <x:f>IF(A181="","",Einstellungen!$B$5)</x:f>
      </x:c>
      <x:c r="G181" s="22" t="str">
        <x:f t="shared" si="15"/>
      </x:c>
      <x:c r="H181" s="23" t="str">
        <x:f t="shared" si="16"/>
      </x:c>
      <x:c r="I181" s="21" t="str">
        <x:f t="shared" si="17"/>
      </x:c>
      <x:c r="J181" s="21"/>
      <x:c r="K181" s="21"/>
    </x:row>
    <x:row r="182" ht="54" customHeight="1">
      <x:c r="A182" s="20"/>
      <x:c r="B182" s="21"/>
      <x:c r="C182" s="21"/>
      <x:c r="D182" s="21"/>
      <x:c r="E182" s="22"/>
      <x:c r="F182" s="22" t="str">
        <x:f>IF(A182="","",Einstellungen!$B$5)</x:f>
      </x:c>
      <x:c r="G182" s="22" t="str">
        <x:f t="shared" si="15"/>
      </x:c>
      <x:c r="H182" s="23" t="str">
        <x:f t="shared" si="16"/>
      </x:c>
      <x:c r="I182" s="21" t="str">
        <x:f t="shared" si="17"/>
      </x:c>
      <x:c r="J182" s="21"/>
      <x:c r="K182" s="21"/>
    </x:row>
    <x:row r="183" ht="54" customHeight="1">
      <x:c r="A183" s="20"/>
      <x:c r="B183" s="21"/>
      <x:c r="C183" s="21"/>
      <x:c r="D183" s="21"/>
      <x:c r="E183" s="22"/>
      <x:c r="F183" s="22" t="str">
        <x:f>IF(A183="","",Einstellungen!$B$5)</x:f>
      </x:c>
      <x:c r="G183" s="22" t="str">
        <x:f t="shared" si="15"/>
      </x:c>
      <x:c r="H183" s="23" t="str">
        <x:f t="shared" si="16"/>
      </x:c>
      <x:c r="I183" s="21" t="str">
        <x:f t="shared" si="17"/>
      </x:c>
      <x:c r="J183" s="21"/>
      <x:c r="K183" s="21"/>
    </x:row>
    <x:row r="184" ht="54" customHeight="1">
      <x:c r="A184" s="20"/>
      <x:c r="B184" s="21"/>
      <x:c r="C184" s="21"/>
      <x:c r="D184" s="21"/>
      <x:c r="E184" s="22"/>
      <x:c r="F184" s="22" t="str">
        <x:f>IF(A184="","",Einstellungen!$B$5)</x:f>
      </x:c>
      <x:c r="G184" s="22" t="str">
        <x:f t="shared" si="15"/>
      </x:c>
      <x:c r="H184" s="23" t="str">
        <x:f t="shared" si="16"/>
      </x:c>
      <x:c r="I184" s="21" t="str">
        <x:f t="shared" si="17"/>
      </x:c>
      <x:c r="J184" s="21"/>
      <x:c r="K184" s="21"/>
    </x:row>
    <x:row r="185" ht="54" customHeight="1">
      <x:c r="A185" s="20"/>
      <x:c r="B185" s="21"/>
      <x:c r="C185" s="21"/>
      <x:c r="D185" s="21"/>
      <x:c r="E185" s="22"/>
      <x:c r="F185" s="22" t="str">
        <x:f>IF(A185="","",Einstellungen!$B$5)</x:f>
      </x:c>
      <x:c r="G185" s="22" t="str">
        <x:f t="shared" si="15"/>
      </x:c>
      <x:c r="H185" s="23" t="str">
        <x:f t="shared" si="16"/>
      </x:c>
      <x:c r="I185" s="21" t="str">
        <x:f t="shared" si="17"/>
      </x:c>
      <x:c r="J185" s="21"/>
      <x:c r="K185" s="21"/>
    </x:row>
    <x:row r="186" ht="54" customHeight="1">
      <x:c r="A186" s="20"/>
      <x:c r="B186" s="21"/>
      <x:c r="C186" s="21"/>
      <x:c r="D186" s="21"/>
      <x:c r="E186" s="22"/>
      <x:c r="F186" s="22" t="str">
        <x:f>IF(A186="","",Einstellungen!$B$5)</x:f>
      </x:c>
      <x:c r="G186" s="22" t="str">
        <x:f t="shared" si="15"/>
      </x:c>
      <x:c r="H186" s="23" t="str">
        <x:f t="shared" si="16"/>
      </x:c>
      <x:c r="I186" s="21" t="str">
        <x:f t="shared" si="17"/>
      </x:c>
      <x:c r="J186" s="21"/>
      <x:c r="K186" s="21"/>
    </x:row>
    <x:row r="187" ht="54" customHeight="1">
      <x:c r="A187" s="20"/>
      <x:c r="B187" s="21"/>
      <x:c r="C187" s="21"/>
      <x:c r="D187" s="21"/>
      <x:c r="E187" s="22"/>
      <x:c r="F187" s="22" t="str">
        <x:f>IF(A187="","",Einstellungen!$B$5)</x:f>
      </x:c>
      <x:c r="G187" s="22" t="str">
        <x:f t="shared" si="15"/>
      </x:c>
      <x:c r="H187" s="23" t="str">
        <x:f t="shared" si="16"/>
      </x:c>
      <x:c r="I187" s="21" t="str">
        <x:f t="shared" si="17"/>
      </x:c>
      <x:c r="J187" s="21"/>
      <x:c r="K187" s="21"/>
    </x:row>
    <x:row r="188" ht="54" customHeight="1">
      <x:c r="A188" s="20"/>
      <x:c r="B188" s="21"/>
      <x:c r="C188" s="21"/>
      <x:c r="D188" s="21"/>
      <x:c r="E188" s="22"/>
      <x:c r="F188" s="22" t="str">
        <x:f>IF(A188="","",Einstellungen!$B$5)</x:f>
      </x:c>
      <x:c r="G188" s="22" t="str">
        <x:f t="shared" si="15"/>
      </x:c>
      <x:c r="H188" s="23" t="str">
        <x:f t="shared" si="16"/>
      </x:c>
      <x:c r="I188" s="21" t="str">
        <x:f t="shared" si="17"/>
      </x:c>
      <x:c r="J188" s="21"/>
      <x:c r="K188" s="21"/>
    </x:row>
    <x:row r="189" ht="54" customHeight="1">
      <x:c r="A189" s="20"/>
      <x:c r="B189" s="21"/>
      <x:c r="C189" s="21"/>
      <x:c r="D189" s="21"/>
      <x:c r="E189" s="22"/>
      <x:c r="F189" s="22" t="str">
        <x:f>IF(A189="","",Einstellungen!$B$5)</x:f>
      </x:c>
      <x:c r="G189" s="22" t="str">
        <x:f t="shared" si="15"/>
      </x:c>
      <x:c r="H189" s="23" t="str">
        <x:f t="shared" si="16"/>
      </x:c>
      <x:c r="I189" s="21" t="str">
        <x:f t="shared" si="17"/>
      </x:c>
      <x:c r="J189" s="21"/>
      <x:c r="K189" s="21"/>
    </x:row>
    <x:row r="190" ht="54" customHeight="1">
      <x:c r="A190" s="20"/>
      <x:c r="B190" s="21"/>
      <x:c r="C190" s="21"/>
      <x:c r="D190" s="21"/>
      <x:c r="E190" s="22"/>
      <x:c r="F190" s="22" t="str">
        <x:f>IF(A190="","",Einstellungen!$B$5)</x:f>
      </x:c>
      <x:c r="G190" s="22" t="str">
        <x:f t="shared" si="15"/>
      </x:c>
      <x:c r="H190" s="23" t="str">
        <x:f t="shared" si="16"/>
      </x:c>
      <x:c r="I190" s="21" t="str">
        <x:f t="shared" si="17"/>
      </x:c>
      <x:c r="J190" s="21"/>
      <x:c r="K190" s="21"/>
    </x:row>
    <x:row r="191" ht="54" customHeight="1">
      <x:c r="A191" s="20"/>
      <x:c r="B191" s="21"/>
      <x:c r="C191" s="21"/>
      <x:c r="D191" s="21"/>
      <x:c r="E191" s="22"/>
      <x:c r="F191" s="22" t="str">
        <x:f>IF(A191="","",Einstellungen!$B$5)</x:f>
      </x:c>
      <x:c r="G191" s="22" t="str">
        <x:f t="shared" si="15"/>
      </x:c>
      <x:c r="H191" s="23" t="str">
        <x:f t="shared" si="16"/>
      </x:c>
      <x:c r="I191" s="21" t="str">
        <x:f t="shared" si="17"/>
      </x:c>
      <x:c r="J191" s="21"/>
      <x:c r="K191" s="21"/>
    </x:row>
    <x:row r="192" ht="54" customHeight="1">
      <x:c r="A192" s="20"/>
      <x:c r="B192" s="21"/>
      <x:c r="C192" s="21"/>
      <x:c r="D192" s="21"/>
      <x:c r="E192" s="22"/>
      <x:c r="F192" s="22" t="str">
        <x:f>IF(A192="","",Einstellungen!$B$5)</x:f>
      </x:c>
      <x:c r="G192" s="22" t="str">
        <x:f t="shared" si="15"/>
      </x:c>
      <x:c r="H192" s="23" t="str">
        <x:f t="shared" si="16"/>
      </x:c>
      <x:c r="I192" s="21" t="str">
        <x:f t="shared" si="17"/>
      </x:c>
      <x:c r="J192" s="21"/>
      <x:c r="K192" s="21"/>
    </x:row>
    <x:row r="193" ht="54" customHeight="1">
      <x:c r="A193" s="20"/>
      <x:c r="B193" s="21"/>
      <x:c r="C193" s="21"/>
      <x:c r="D193" s="21"/>
      <x:c r="E193" s="22"/>
      <x:c r="F193" s="22" t="str">
        <x:f>IF(A193="","",Einstellungen!$B$5)</x:f>
      </x:c>
      <x:c r="G193" s="22" t="str">
        <x:f t="shared" si="15"/>
      </x:c>
      <x:c r="H193" s="23" t="str">
        <x:f t="shared" si="16"/>
      </x:c>
      <x:c r="I193" s="21" t="str">
        <x:f t="shared" si="17"/>
      </x:c>
      <x:c r="J193" s="21"/>
      <x:c r="K193" s="21"/>
    </x:row>
    <x:row r="194" ht="54" customHeight="1">
      <x:c r="A194" s="20"/>
      <x:c r="B194" s="21"/>
      <x:c r="C194" s="21"/>
      <x:c r="D194" s="21"/>
      <x:c r="E194" s="22"/>
      <x:c r="F194" s="22" t="str">
        <x:f>IF(A194="","",Einstellungen!$B$5)</x:f>
      </x:c>
      <x:c r="G194" s="22" t="str">
        <x:f t="shared" si="15"/>
      </x:c>
      <x:c r="H194" s="23" t="str">
        <x:f t="shared" si="16"/>
      </x:c>
      <x:c r="I194" s="21" t="str">
        <x:f t="shared" si="17"/>
      </x:c>
      <x:c r="J194" s="21"/>
      <x:c r="K194" s="21"/>
    </x:row>
    <x:row r="195" ht="54" customHeight="1">
      <x:c r="A195" s="20"/>
      <x:c r="B195" s="21"/>
      <x:c r="C195" s="21"/>
      <x:c r="D195" s="21"/>
      <x:c r="E195" s="22"/>
      <x:c r="F195" s="22" t="str">
        <x:f>IF(A195="","",Einstellungen!$B$5)</x:f>
      </x:c>
      <x:c r="G195" s="22" t="str">
        <x:f t="shared" si="15"/>
      </x:c>
      <x:c r="H195" s="23" t="str">
        <x:f t="shared" si="16"/>
      </x:c>
      <x:c r="I195" s="21" t="str">
        <x:f t="shared" si="17"/>
      </x:c>
      <x:c r="J195" s="21"/>
      <x:c r="K195" s="21"/>
    </x:row>
    <x:row r="196" ht="54" customHeight="1">
      <x:c r="A196" s="20"/>
      <x:c r="B196" s="21"/>
      <x:c r="C196" s="21"/>
      <x:c r="D196" s="21"/>
      <x:c r="E196" s="22"/>
      <x:c r="F196" s="22" t="str">
        <x:f>IF(A196="","",Einstellungen!$B$5)</x:f>
      </x:c>
      <x:c r="G196" s="22" t="str">
        <x:f t="shared" si="15"/>
      </x:c>
      <x:c r="H196" s="23" t="str">
        <x:f t="shared" si="16"/>
      </x:c>
      <x:c r="I196" s="21" t="str">
        <x:f t="shared" si="17"/>
      </x:c>
      <x:c r="J196" s="21"/>
      <x:c r="K196" s="21"/>
    </x:row>
    <x:row r="197" ht="54" customHeight="1">
      <x:c r="A197" s="20"/>
      <x:c r="B197" s="21"/>
      <x:c r="C197" s="21"/>
      <x:c r="D197" s="21"/>
      <x:c r="E197" s="22"/>
      <x:c r="F197" s="22" t="str">
        <x:f>IF(A197="","",Einstellungen!$B$5)</x:f>
      </x:c>
      <x:c r="G197" s="22" t="str">
        <x:f t="shared" si="15"/>
      </x:c>
      <x:c r="H197" s="23" t="str">
        <x:f t="shared" si="16"/>
      </x:c>
      <x:c r="I197" s="21" t="str">
        <x:f t="shared" si="17"/>
      </x:c>
      <x:c r="J197" s="21"/>
      <x:c r="K197" s="21"/>
    </x:row>
    <x:row r="198" ht="54" customHeight="1">
      <x:c r="A198" s="20"/>
      <x:c r="B198" s="21"/>
      <x:c r="C198" s="21"/>
      <x:c r="D198" s="21"/>
      <x:c r="E198" s="22"/>
      <x:c r="F198" s="22" t="str">
        <x:f>IF(A198="","",Einstellungen!$B$5)</x:f>
      </x:c>
      <x:c r="G198" s="22" t="str">
        <x:f t="shared" si="15"/>
      </x:c>
      <x:c r="H198" s="23" t="str">
        <x:f t="shared" si="16"/>
      </x:c>
      <x:c r="I198" s="21" t="str">
        <x:f t="shared" si="17"/>
      </x:c>
      <x:c r="J198" s="21"/>
      <x:c r="K198" s="21"/>
    </x:row>
    <x:row r="199" ht="54" customHeight="1">
      <x:c r="A199" s="20"/>
      <x:c r="B199" s="21"/>
      <x:c r="C199" s="21"/>
      <x:c r="D199" s="21"/>
      <x:c r="E199" s="22"/>
      <x:c r="F199" s="22" t="str">
        <x:f>IF(A199="","",Einstellungen!$B$5)</x:f>
      </x:c>
      <x:c r="G199" s="22" t="str">
        <x:f t="shared" si="15"/>
      </x:c>
      <x:c r="H199" s="23" t="str">
        <x:f t="shared" si="16"/>
      </x:c>
      <x:c r="I199" s="21" t="str">
        <x:f t="shared" si="17"/>
      </x:c>
      <x:c r="J199" s="21"/>
      <x:c r="K199" s="21"/>
    </x:row>
    <x:row r="200" ht="54" customHeight="1">
      <x:c r="A200" s="20"/>
      <x:c r="B200" s="21"/>
      <x:c r="C200" s="21"/>
      <x:c r="D200" s="21"/>
      <x:c r="E200" s="22"/>
      <x:c r="F200" s="22" t="str">
        <x:f>IF(A200="","",Einstellungen!$B$5)</x:f>
      </x:c>
      <x:c r="G200" s="22" t="str">
        <x:f t="shared" si="15"/>
      </x:c>
      <x:c r="H200" s="23" t="str">
        <x:f t="shared" si="16"/>
      </x:c>
      <x:c r="I200" s="21" t="str">
        <x:f t="shared" si="17"/>
      </x:c>
      <x:c r="J200" s="21"/>
      <x:c r="K200" s="21"/>
    </x:row>
    <x:row r="201" ht="54" customHeight="1">
      <x:c r="A201" s="20"/>
      <x:c r="B201" s="21"/>
      <x:c r="C201" s="21"/>
      <x:c r="D201" s="21"/>
      <x:c r="E201" s="22"/>
      <x:c r="F201" s="22" t="str">
        <x:f>IF(A201="","",Einstellungen!$B$5)</x:f>
      </x:c>
      <x:c r="G201" s="22" t="str">
        <x:f t="shared" si="15"/>
      </x:c>
      <x:c r="H201" s="23" t="str">
        <x:f t="shared" si="16"/>
      </x:c>
      <x:c r="I201" s="21" t="str">
        <x:f t="shared" si="17"/>
      </x:c>
      <x:c r="J201" s="21"/>
      <x:c r="K201" s="21"/>
    </x:row>
    <x:row r="202" ht="54" customHeight="1">
      <x:c r="A202" s="20"/>
      <x:c r="B202" s="21"/>
      <x:c r="C202" s="21"/>
      <x:c r="D202" s="21"/>
      <x:c r="E202" s="22"/>
      <x:c r="F202" s="22" t="str">
        <x:f>IF(A202="","",Einstellungen!$B$5)</x:f>
      </x:c>
      <x:c r="G202" s="22" t="str">
        <x:f t="shared" si="15"/>
      </x:c>
      <x:c r="H202" s="23" t="str">
        <x:f t="shared" si="16"/>
      </x:c>
      <x:c r="I202" s="21" t="str">
        <x:f t="shared" si="17"/>
      </x:c>
      <x:c r="J202" s="21"/>
      <x:c r="K202" s="21"/>
    </x:row>
    <x:row r="203" ht="54" customHeight="1">
      <x:c r="A203" s="20"/>
      <x:c r="B203" s="21"/>
      <x:c r="C203" s="21"/>
      <x:c r="D203" s="21"/>
      <x:c r="E203" s="22"/>
      <x:c r="F203" s="22" t="str">
        <x:f>IF(A203="","",Einstellungen!$B$5)</x:f>
      </x:c>
      <x:c r="G203" s="22" t="str">
        <x:f t="shared" si="15"/>
      </x:c>
      <x:c r="H203" s="23" t="str">
        <x:f t="shared" si="16"/>
      </x:c>
      <x:c r="I203" s="21" t="str">
        <x:f t="shared" si="17"/>
      </x:c>
      <x:c r="J203" s="21"/>
      <x:c r="K203" s="21"/>
    </x:row>
    <x:row r="204" ht="54" customHeight="1">
      <x:c r="A204" s="20"/>
      <x:c r="B204" s="21"/>
      <x:c r="C204" s="21"/>
      <x:c r="D204" s="21"/>
      <x:c r="E204" s="22"/>
      <x:c r="F204" s="22" t="str">
        <x:f>IF(A204="","",Einstellungen!$B$5)</x:f>
      </x:c>
      <x:c r="G204" s="22" t="str">
        <x:f t="shared" si="15"/>
      </x:c>
      <x:c r="H204" s="23" t="str">
        <x:f t="shared" si="16"/>
      </x:c>
      <x:c r="I204" s="21" t="str">
        <x:f t="shared" si="17"/>
      </x:c>
      <x:c r="J204" s="21"/>
      <x:c r="K204" s="21"/>
    </x:row>
    <x:row r="205" ht="54" customHeight="1">
      <x:c r="A205" s="20"/>
      <x:c r="B205" s="21"/>
      <x:c r="C205" s="21"/>
      <x:c r="D205" s="21"/>
      <x:c r="E205" s="22"/>
      <x:c r="F205" s="22" t="str">
        <x:f>IF(A205="","",Einstellungen!$B$5)</x:f>
      </x:c>
      <x:c r="G205" s="22" t="str">
        <x:f t="shared" ref="G205:G212" si="18">IF(E205="","",E205*F205)</x:f>
      </x:c>
      <x:c r="H205" s="23" t="str">
        <x:f t="shared" ref="H205:H212" si="19">IF(A205="","",WEEKNUM(A205,21))</x:f>
      </x:c>
      <x:c r="I205" s="21" t="str">
        <x:f t="shared" ref="I205:I212" si="20">IF(A205="","",CHOOSE(MONTH(A205),"Januar","Februar","März","April","Mai","Juni","Juli","August","September","Oktober","November","Dezember")&amp;" "&amp;YEAR(A205))</x:f>
      </x:c>
      <x:c r="J205" s="21"/>
      <x:c r="K205" s="21"/>
    </x:row>
    <x:row r="206" ht="54" customHeight="1">
      <x:c r="A206" s="20"/>
      <x:c r="B206" s="21"/>
      <x:c r="C206" s="21"/>
      <x:c r="D206" s="21"/>
      <x:c r="E206" s="22"/>
      <x:c r="F206" s="22" t="str">
        <x:f>IF(A206="","",Einstellungen!$B$5)</x:f>
      </x:c>
      <x:c r="G206" s="22" t="str">
        <x:f t="shared" si="18"/>
      </x:c>
      <x:c r="H206" s="23" t="str">
        <x:f t="shared" si="19"/>
      </x:c>
      <x:c r="I206" s="21" t="str">
        <x:f t="shared" si="20"/>
      </x:c>
      <x:c r="J206" s="21"/>
      <x:c r="K206" s="21"/>
    </x:row>
    <x:row r="207" ht="54" customHeight="1">
      <x:c r="A207" s="20"/>
      <x:c r="B207" s="21"/>
      <x:c r="C207" s="21"/>
      <x:c r="D207" s="21"/>
      <x:c r="E207" s="22"/>
      <x:c r="F207" s="22" t="str">
        <x:f>IF(A207="","",Einstellungen!$B$5)</x:f>
      </x:c>
      <x:c r="G207" s="22" t="str">
        <x:f t="shared" si="18"/>
      </x:c>
      <x:c r="H207" s="23" t="str">
        <x:f t="shared" si="19"/>
      </x:c>
      <x:c r="I207" s="21" t="str">
        <x:f t="shared" si="20"/>
      </x:c>
      <x:c r="J207" s="21"/>
      <x:c r="K207" s="21"/>
    </x:row>
    <x:row r="208" ht="54" customHeight="1">
      <x:c r="A208" s="20"/>
      <x:c r="B208" s="21"/>
      <x:c r="C208" s="21"/>
      <x:c r="D208" s="21"/>
      <x:c r="E208" s="22"/>
      <x:c r="F208" s="22" t="str">
        <x:f>IF(A208="","",Einstellungen!$B$5)</x:f>
      </x:c>
      <x:c r="G208" s="22" t="str">
        <x:f t="shared" si="18"/>
      </x:c>
      <x:c r="H208" s="23" t="str">
        <x:f t="shared" si="19"/>
      </x:c>
      <x:c r="I208" s="21" t="str">
        <x:f t="shared" si="20"/>
      </x:c>
      <x:c r="J208" s="21"/>
      <x:c r="K208" s="21"/>
    </x:row>
    <x:row r="209" ht="54" customHeight="1">
      <x:c r="A209" s="20"/>
      <x:c r="B209" s="21"/>
      <x:c r="C209" s="21"/>
      <x:c r="D209" s="21"/>
      <x:c r="E209" s="22"/>
      <x:c r="F209" s="22" t="str">
        <x:f>IF(A209="","",Einstellungen!$B$5)</x:f>
      </x:c>
      <x:c r="G209" s="22" t="str">
        <x:f t="shared" si="18"/>
      </x:c>
      <x:c r="H209" s="23" t="str">
        <x:f t="shared" si="19"/>
      </x:c>
      <x:c r="I209" s="21" t="str">
        <x:f t="shared" si="20"/>
      </x:c>
      <x:c r="J209" s="21"/>
      <x:c r="K209" s="21"/>
    </x:row>
    <x:row r="210" ht="54" customHeight="1">
      <x:c r="A210" s="20"/>
      <x:c r="B210" s="21"/>
      <x:c r="C210" s="21"/>
      <x:c r="D210" s="21"/>
      <x:c r="E210" s="22"/>
      <x:c r="F210" s="22" t="str">
        <x:f>IF(A210="","",Einstellungen!$B$5)</x:f>
      </x:c>
      <x:c r="G210" s="22" t="str">
        <x:f t="shared" si="18"/>
      </x:c>
      <x:c r="H210" s="23" t="str">
        <x:f t="shared" si="19"/>
      </x:c>
      <x:c r="I210" s="21" t="str">
        <x:f t="shared" si="20"/>
      </x:c>
      <x:c r="J210" s="21"/>
      <x:c r="K210" s="21"/>
    </x:row>
    <x:row r="211" ht="54" customHeight="1">
      <x:c r="A211" s="20"/>
      <x:c r="B211" s="21"/>
      <x:c r="C211" s="21"/>
      <x:c r="D211" s="21"/>
      <x:c r="E211" s="22"/>
      <x:c r="F211" s="22" t="str">
        <x:f>IF(A211="","",Einstellungen!$B$5)</x:f>
      </x:c>
      <x:c r="G211" s="22" t="str">
        <x:f t="shared" si="18"/>
      </x:c>
      <x:c r="H211" s="23" t="str">
        <x:f t="shared" si="19"/>
      </x:c>
      <x:c r="I211" s="21" t="str">
        <x:f t="shared" si="20"/>
      </x:c>
      <x:c r="J211" s="21"/>
      <x:c r="K211" s="21"/>
    </x:row>
    <x:row r="212" ht="54" customHeight="1">
      <x:c r="A212" s="20"/>
      <x:c r="B212" s="21"/>
      <x:c r="C212" s="21"/>
      <x:c r="D212" s="21"/>
      <x:c r="E212" s="22"/>
      <x:c r="F212" s="22" t="str">
        <x:f>IF(A212="","",Einstellungen!$B$5)</x:f>
      </x:c>
      <x:c r="G212" s="22" t="str">
        <x:f t="shared" si="18"/>
      </x:c>
      <x:c r="H212" s="23" t="str">
        <x:f t="shared" si="19"/>
      </x:c>
      <x:c r="I212" s="21" t="str">
        <x:f t="shared" si="20"/>
      </x:c>
      <x:c r="J212" s="21"/>
      <x:c r="K212" s="21"/>
    </x:row>
  </x:sheetData>
  <x:mergeCells>
    <x:mergeCell ref="A1:K1"/>
    <x:mergeCell ref="A2:H2"/>
    <x:mergeCell ref="A20:D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3" width="18" customWidth="1"/>
    <x:col min="4" max="4" width="42" customWidth="1"/>
    <x:col min="5" max="5" width="16" customWidth="1"/>
    <x:col min="6" max="8" width="14" customWidth="1"/>
  </x:cols>
  <x:sheetData>
    <x:row r="1" ht="28.5" customHeight="1">
      <x:c r="A1" s="44" t="s">
        <x:v>65</x:v>
      </x:c>
      <x:c r="B1" s="44" t="s">
        <x:v>65</x:v>
      </x:c>
      <x:c r="C1" s="44" t="s">
        <x:v>65</x:v>
      </x:c>
      <x:c r="D1" s="44" t="s">
        <x:v>65</x:v>
      </x:c>
      <x:c r="E1" s="44" t="s">
        <x:v>65</x:v>
      </x:c>
      <x:c r="F1" s="44" t="s">
        <x:v>65</x:v>
      </x:c>
      <x:c r="G1" s="44" t="s">
        <x:v>65</x:v>
      </x:c>
      <x:c r="H1" s="44" t="s">
        <x:v>65</x:v>
      </x:c>
    </x:row>
    <x:row r="2" ht="25.5" customHeight="1">
      <x:c r="A2" s="45" t="s">
        <x:v>66</x:v>
      </x:c>
      <x:c r="B2" s="45" t="s">
        <x:v>66</x:v>
      </x:c>
      <x:c r="C2" s="45" t="s">
        <x:v>66</x:v>
      </x:c>
      <x:c r="D2" s="45" t="s">
        <x:v>66</x:v>
      </x:c>
      <x:c r="E2" s="45" t="s">
        <x:v>66</x:v>
      </x:c>
      <x:c r="F2" s="45" t="s">
        <x:v>66</x:v>
      </x:c>
      <x:c r="G2" s="45" t="s">
        <x:v>66</x:v>
      </x:c>
      <x:c r="H2" s="45" t="s">
        <x:v>66</x:v>
      </x:c>
    </x:row>
    <x:row r="3" ht="15">
      <x:c r="A3" s="1"/>
      <x:c r="B3" s="1"/>
      <x:c r="C3" s="1"/>
      <x:c r="D3" s="1"/>
      <x:c r="E3" s="1"/>
      <x:c r="F3" s="1"/>
      <x:c r="G3" s="1"/>
      <x:c r="H3" s="1"/>
    </x:row>
    <x:row r="4" ht="15">
      <x:c r="A4" s="24" t="s">
        <x:v>28</x:v>
      </x:c>
      <x:c r="B4" s="25" t="str">
        <x:f>Einstellungen!F5</x:f>
        <x:v>Juni 2026</x:v>
      </x:c>
      <x:c r="C4" s="1"/>
      <x:c r="D4" s="26" t="s">
        <x:v>38</x:v>
      </x:c>
      <x:c r="E4" s="26" t="s">
        <x:v>67</x:v>
      </x:c>
      <x:c r="F4" s="26" t="s">
        <x:v>68</x:v>
      </x:c>
      <x:c r="G4" s="1"/>
      <x:c r="H4" s="1"/>
    </x:row>
    <x:row r="5" ht="15">
      <x:c r="A5" s="24" t="s">
        <x:v>69</x:v>
      </x:c>
      <x:c r="B5" s="27" t="n">
        <x:f>Datenbasis!D5</x:f>
        <x:v>26.299999999999997</x:v>
      </x:c>
      <x:c r="C5" s="1"/>
      <x:c r="D5" s="28" t="s">
        <x:v>7</x:v>
      </x:c>
      <x:c r="E5" s="29" t="n">
        <x:f>SUMIFS(Datenbasis!$E$13:$E$212,Datenbasis!$J$13:$J$212,D5,Datenbasis!$A$13:$A$212,"&gt;="&amp;Einstellungen!$B$4,Datenbasis!$A$13:$A$212,"&lt;"&amp;DATE(YEAR(Einstellungen!$B$4),MONTH(Einstellungen!$B$4)+1,1))</x:f>
        <x:v>7.55</x:v>
      </x:c>
      <x:c r="F5" s="30" t="n">
        <x:f>IF($B$5=0,0,E5/$B$5)</x:f>
        <x:v>0.2870722433460076</x:v>
      </x:c>
      <x:c r="G5" s="1"/>
      <x:c r="H5" s="1"/>
    </x:row>
    <x:row r="6" ht="15">
      <x:c r="A6" s="24" t="s">
        <x:v>36</x:v>
      </x:c>
      <x:c r="B6" s="31" t="n">
        <x:f>Datenbasis!E5</x:f>
        <x:v>2235.5</x:v>
      </x:c>
      <x:c r="C6" s="1"/>
      <x:c r="D6" s="28" t="s">
        <x:v>11</x:v>
      </x:c>
      <x:c r="E6" s="29" t="n">
        <x:f>SUMIFS(Datenbasis!$E$13:$E$212,Datenbasis!$J$13:$J$212,D6,Datenbasis!$A$13:$A$212,"&gt;="&amp;Einstellungen!$B$4,Datenbasis!$A$13:$A$212,"&lt;"&amp;DATE(YEAR(Einstellungen!$B$4),MONTH(Einstellungen!$B$4)+1,1))</x:f>
        <x:v>1.5</x:v>
      </x:c>
      <x:c r="F6" s="30" t="n">
        <x:f>IF($B$5=0,0,E6/$B$5)</x:f>
        <x:v>0.0570342205323194</x:v>
      </x:c>
      <x:c r="G6" s="1"/>
      <x:c r="H6" s="1"/>
    </x:row>
    <x:row r="7" ht="15">
      <x:c r="A7" s="1"/>
      <x:c r="B7" s="1"/>
      <x:c r="C7" s="1"/>
      <x:c r="D7" s="28" t="s">
        <x:v>15</x:v>
      </x:c>
      <x:c r="E7" s="29" t="n">
        <x:f>SUMIFS(Datenbasis!$E$13:$E$212,Datenbasis!$J$13:$J$212,D7,Datenbasis!$A$13:$A$212,"&gt;="&amp;Einstellungen!$B$4,Datenbasis!$A$13:$A$212,"&lt;"&amp;DATE(YEAR(Einstellungen!$B$4),MONTH(Einstellungen!$B$4)+1,1))</x:f>
        <x:v>0.5</x:v>
      </x:c>
      <x:c r="F7" s="30" t="n">
        <x:f>IF($B$5=0,0,E7/$B$5)</x:f>
        <x:v>0.019011406844106467</x:v>
      </x:c>
      <x:c r="G7" s="1"/>
      <x:c r="H7" s="1"/>
    </x:row>
    <x:row r="8" ht="15">
      <x:c r="A8" s="1"/>
      <x:c r="B8" s="1"/>
      <x:c r="C8" s="1"/>
      <x:c r="D8" s="28" t="s">
        <x:v>19</x:v>
      </x:c>
      <x:c r="E8" s="29" t="n">
        <x:f>SUMIFS(Datenbasis!$E$13:$E$212,Datenbasis!$J$13:$J$212,D8,Datenbasis!$A$13:$A$212,"&gt;="&amp;Einstellungen!$B$4,Datenbasis!$A$13:$A$212,"&lt;"&amp;DATE(YEAR(Einstellungen!$B$4),MONTH(Einstellungen!$B$4)+1,1))</x:f>
        <x:v>0.75</x:v>
      </x:c>
      <x:c r="F8" s="30" t="n">
        <x:f>IF($B$5=0,0,E8/$B$5)</x:f>
        <x:v>0.0285171102661597</x:v>
      </x:c>
      <x:c r="G8" s="1"/>
      <x:c r="H8" s="1"/>
    </x:row>
    <x:row r="9" ht="15">
      <x:c r="A9" s="1"/>
      <x:c r="B9" s="1"/>
      <x:c r="C9" s="1"/>
      <x:c r="D9" s="28" t="s">
        <x:v>21</x:v>
      </x:c>
      <x:c r="E9" s="29" t="n">
        <x:f>SUMIFS(Datenbasis!$E$13:$E$212,Datenbasis!$J$13:$J$212,D9,Datenbasis!$A$13:$A$212,"&gt;="&amp;Einstellungen!$B$4,Datenbasis!$A$13:$A$212,"&lt;"&amp;DATE(YEAR(Einstellungen!$B$4),MONTH(Einstellungen!$B$4)+1,1))</x:f>
        <x:v>0</x:v>
      </x:c>
      <x:c r="F9" s="30" t="n">
        <x:f>IF($B$5=0,0,E9/$B$5)</x:f>
        <x:v>0</x:v>
      </x:c>
      <x:c r="G9" s="1"/>
      <x:c r="H9" s="1"/>
    </x:row>
    <x:row r="10" ht="15">
      <x:c r="A10" s="1"/>
      <x:c r="B10" s="1"/>
      <x:c r="C10" s="1"/>
      <x:c r="D10" s="1"/>
      <x:c r="E10" s="1"/>
      <x:c r="F10" s="1"/>
      <x:c r="G10" s="1"/>
      <x:c r="H10" s="1"/>
    </x:row>
    <x:row r="11">
      <x:c r="A11" s="50" t="s">
        <x:v>70</x:v>
      </x:c>
      <x:c r="B11" s="50" t="s">
        <x:v>70</x:v>
      </x:c>
      <x:c r="C11" s="50" t="s">
        <x:v>70</x:v>
      </x:c>
      <x:c r="D11" s="50" t="s">
        <x:v>70</x:v>
      </x:c>
      <x:c r="E11" s="50" t="s">
        <x:v>70</x:v>
      </x:c>
      <x:c r="F11" s="50" t="s">
        <x:v>70</x:v>
      </x:c>
      <x:c r="G11" s="50" t="s">
        <x:v>70</x:v>
      </x:c>
      <x:c r="H11" s="50" t="s">
        <x:v>70</x:v>
      </x:c>
    </x:row>
    <x:row r="12" ht="36" customHeight="1">
      <x:c r="A12" s="32" t="s">
        <x:v>71</x:v>
      </x:c>
      <x:c r="B12" s="49" t="s">
        <x:v>72</x:v>
      </x:c>
      <x:c r="C12" s="49"/>
      <x:c r="D12" s="49"/>
      <x:c r="E12" s="49"/>
      <x:c r="F12" s="49"/>
      <x:c r="G12" s="49"/>
      <x:c r="H12" s="49"/>
    </x:row>
    <x:row r="13" ht="36" customHeight="1">
      <x:c r="A13" s="32" t="s">
        <x:v>73</x:v>
      </x:c>
      <x:c r="B13" s="49" t="s">
        <x:v>74</x:v>
      </x:c>
      <x:c r="C13" s="49"/>
      <x:c r="D13" s="49"/>
      <x:c r="E13" s="49"/>
      <x:c r="F13" s="49"/>
      <x:c r="G13" s="49"/>
      <x:c r="H13" s="49"/>
    </x:row>
    <x:row r="14" ht="36" customHeight="1">
      <x:c r="A14" s="32" t="s">
        <x:v>75</x:v>
      </x:c>
      <x:c r="B14" s="49" t="s">
        <x:v>76</x:v>
      </x:c>
      <x:c r="C14" s="49"/>
      <x:c r="D14" s="49"/>
      <x:c r="E14" s="49"/>
      <x:c r="F14" s="49"/>
      <x:c r="G14" s="49"/>
      <x:c r="H14" s="49"/>
    </x:row>
    <x:row r="15" ht="36" customHeight="1">
      <x:c r="A15" s="32" t="s">
        <x:v>77</x:v>
      </x:c>
      <x:c r="B15" s="49" t="s">
        <x:v>78</x:v>
      </x:c>
      <x:c r="C15" s="49"/>
      <x:c r="D15" s="49"/>
      <x:c r="E15" s="49"/>
      <x:c r="F15" s="49"/>
      <x:c r="G15" s="49"/>
      <x:c r="H15" s="49"/>
    </x:row>
    <x:row r="16" ht="36" customHeight="1">
      <x:c r="A16" s="32" t="s">
        <x:v>79</x:v>
      </x:c>
      <x:c r="B16" s="49" t="s">
        <x:v>80</x:v>
      </x:c>
      <x:c r="C16" s="49"/>
      <x:c r="D16" s="49"/>
      <x:c r="E16" s="49"/>
      <x:c r="F16" s="49"/>
      <x:c r="G16" s="49"/>
      <x:c r="H16" s="49"/>
    </x:row>
    <x:row r="17" ht="15">
      <x:c r="A17" s="1"/>
      <x:c r="B17" s="1"/>
      <x:c r="C17" s="1"/>
      <x:c r="D17" s="1"/>
      <x:c r="E17" s="1"/>
      <x:c r="F17" s="1"/>
      <x:c r="G17" s="1"/>
      <x:c r="H17" s="1"/>
    </x:row>
    <x:row r="18" ht="15">
      <x:c r="A18" s="1"/>
      <x:c r="B18" s="1"/>
      <x:c r="C18" s="1"/>
      <x:c r="D18" s="1"/>
      <x:c r="E18" s="1"/>
      <x:c r="F18" s="1"/>
      <x:c r="G18" s="1"/>
      <x:c r="H18" s="1"/>
    </x:row>
    <x:row r="19" ht="15">
      <x:c r="A19" s="26" t="s">
        <x:v>37</x:v>
      </x:c>
      <x:c r="B19" s="26" t="s">
        <x:v>67</x:v>
      </x:c>
      <x:c r="C19" s="26" t="s">
        <x:v>36</x:v>
      </x:c>
      <x:c r="D19" s="26" t="s">
        <x:v>22</x:v>
      </x:c>
      <x:c r="E19" s="1"/>
      <x:c r="F19" s="1"/>
      <x:c r="G19" s="1"/>
      <x:c r="H19" s="1"/>
    </x:row>
    <x:row r="20" ht="15">
      <x:c r="A20" s="28">
        <x:v>25</x:v>
      </x:c>
      <x:c r="B20" s="29" t="n">
        <x:f>SUMIFS(Datenbasis!$E$13:$E$212,Datenbasis!$H$13:$H$212,A20,Datenbasis!$A$13:$A$212,"&gt;="&amp;Einstellungen!$B$4,Datenbasis!$A$13:$A$212,"&lt;"&amp;DATE(YEAR(Einstellungen!$B$4),MONTH(Einstellungen!$B$4)+1,1))</x:f>
        <x:v>10.3</x:v>
      </x:c>
      <x:c r="C20" s="33" t="n">
        <x:f>SUMIFS(Datenbasis!$G$13:$G$212,Datenbasis!$H$13:$H$212,A20,Datenbasis!$A$13:$A$212,"&gt;="&amp;Einstellungen!$B$4,Datenbasis!$A$13:$A$212,"&lt;"&amp;DATE(YEAR(Einstellungen!$B$4),MONTH(Einstellungen!$B$4)+1,1))</x:f>
        <x:v>875.5</x:v>
      </x:c>
      <x:c r="D20" s="28" t="str">
        <x:f t="shared" ref="D20:D28" si="0">IF(B20=0,"",IF(B20&lt;2,"kleiner Block / Kontextaufbau",IF(B20&gt;8,"hoher Wochenblock - Output sichtbar machen","plausibler Wochenblock")))</x:f>
        <x:v>hoher Wochenblock - Output sichtbar machen</x:v>
      </x:c>
      <x:c r="E20" s="1"/>
      <x:c r="F20" s="1"/>
      <x:c r="G20" s="1"/>
      <x:c r="H20" s="1"/>
    </x:row>
    <x:row r="21" ht="15">
      <x:c r="A21" s="28">
        <x:v>26</x:v>
      </x:c>
      <x:c r="B21" s="29" t="n">
        <x:f>SUMIFS(Datenbasis!$E$13:$E$212,Datenbasis!$H$13:$H$212,A21,Datenbasis!$A$13:$A$212,"&gt;="&amp;Einstellungen!$B$4,Datenbasis!$A$13:$A$212,"&lt;"&amp;DATE(YEAR(Einstellungen!$B$4),MONTH(Einstellungen!$B$4)+1,1))</x:f>
        <x:v>16</x:v>
      </x:c>
      <x:c r="C21" s="33" t="n">
        <x:f>SUMIFS(Datenbasis!$G$13:$G$212,Datenbasis!$H$13:$H$212,A21,Datenbasis!$A$13:$A$212,"&gt;="&amp;Einstellungen!$B$4,Datenbasis!$A$13:$A$212,"&lt;"&amp;DATE(YEAR(Einstellungen!$B$4),MONTH(Einstellungen!$B$4)+1,1))</x:f>
        <x:v>1360</x:v>
      </x:c>
      <x:c r="D21" s="28" t="str">
        <x:f t="shared" si="0"/>
        <x:v>hoher Wochenblock - Output sichtbar machen</x:v>
      </x:c>
      <x:c r="E21" s="1"/>
      <x:c r="F21" s="1"/>
      <x:c r="G21" s="1"/>
      <x:c r="H21" s="1"/>
    </x:row>
    <x:row r="22" ht="15">
      <x:c r="A22" s="28">
        <x:v>27</x:v>
      </x:c>
      <x:c r="B22" s="29" t="n">
        <x:f>SUMIFS(Datenbasis!$E$13:$E$212,Datenbasis!$H$13:$H$212,A22,Datenbasis!$A$13:$A$212,"&gt;="&amp;Einstellungen!$B$4,Datenbasis!$A$13:$A$212,"&lt;"&amp;DATE(YEAR(Einstellungen!$B$4),MONTH(Einstellungen!$B$4)+1,1))</x:f>
        <x:v>0</x:v>
      </x:c>
      <x:c r="C22" s="33" t="n">
        <x:f>SUMIFS(Datenbasis!$G$13:$G$212,Datenbasis!$H$13:$H$212,A22,Datenbasis!$A$13:$A$212,"&gt;="&amp;Einstellungen!$B$4,Datenbasis!$A$13:$A$212,"&lt;"&amp;DATE(YEAR(Einstellungen!$B$4),MONTH(Einstellungen!$B$4)+1,1))</x:f>
        <x:v>0</x:v>
      </x:c>
      <x:c r="D22" s="28" t="str">
        <x:f t="shared" si="0"/>
      </x:c>
      <x:c r="E22" s="1"/>
      <x:c r="F22" s="1"/>
      <x:c r="G22" s="1"/>
      <x:c r="H22" s="1"/>
    </x:row>
    <x:row r="23" ht="15">
      <x:c r="A23" s="28">
        <x:v>28</x:v>
      </x:c>
      <x:c r="B23" s="29" t="n">
        <x:f>SUMIFS(Datenbasis!$E$13:$E$212,Datenbasis!$H$13:$H$212,A23,Datenbasis!$A$13:$A$212,"&gt;="&amp;Einstellungen!$B$4,Datenbasis!$A$13:$A$212,"&lt;"&amp;DATE(YEAR(Einstellungen!$B$4),MONTH(Einstellungen!$B$4)+1,1))</x:f>
        <x:v>0</x:v>
      </x:c>
      <x:c r="C23" s="33" t="n">
        <x:f>SUMIFS(Datenbasis!$G$13:$G$212,Datenbasis!$H$13:$H$212,A23,Datenbasis!$A$13:$A$212,"&gt;="&amp;Einstellungen!$B$4,Datenbasis!$A$13:$A$212,"&lt;"&amp;DATE(YEAR(Einstellungen!$B$4),MONTH(Einstellungen!$B$4)+1,1))</x:f>
        <x:v>0</x:v>
      </x:c>
      <x:c r="D23" s="28" t="str">
        <x:f t="shared" si="0"/>
      </x:c>
      <x:c r="E23" s="1"/>
      <x:c r="F23" s="1"/>
      <x:c r="G23" s="1"/>
      <x:c r="H23" s="1"/>
    </x:row>
    <x:row r="24" ht="15">
      <x:c r="A24" s="28">
        <x:v>29</x:v>
      </x:c>
      <x:c r="B24" s="29" t="n">
        <x:f>SUMIFS(Datenbasis!$E$13:$E$212,Datenbasis!$H$13:$H$212,A24,Datenbasis!$A$13:$A$212,"&gt;="&amp;Einstellungen!$B$4,Datenbasis!$A$13:$A$212,"&lt;"&amp;DATE(YEAR(Einstellungen!$B$4),MONTH(Einstellungen!$B$4)+1,1))</x:f>
        <x:v>0</x:v>
      </x:c>
      <x:c r="C24" s="33" t="n">
        <x:f>SUMIFS(Datenbasis!$G$13:$G$212,Datenbasis!$H$13:$H$212,A24,Datenbasis!$A$13:$A$212,"&gt;="&amp;Einstellungen!$B$4,Datenbasis!$A$13:$A$212,"&lt;"&amp;DATE(YEAR(Einstellungen!$B$4),MONTH(Einstellungen!$B$4)+1,1))</x:f>
        <x:v>0</x:v>
      </x:c>
      <x:c r="D24" s="28" t="str">
        <x:f t="shared" si="0"/>
      </x:c>
      <x:c r="E24" s="1"/>
      <x:c r="F24" s="1"/>
      <x:c r="G24" s="1"/>
      <x:c r="H24" s="1"/>
    </x:row>
    <x:row r="25" ht="15">
      <x:c r="A25" s="28">
        <x:v>30</x:v>
      </x:c>
      <x:c r="B25" s="29" t="n">
        <x:f>SUMIFS(Datenbasis!$E$13:$E$212,Datenbasis!$H$13:$H$212,A25,Datenbasis!$A$13:$A$212,"&gt;="&amp;Einstellungen!$B$4,Datenbasis!$A$13:$A$212,"&lt;"&amp;DATE(YEAR(Einstellungen!$B$4),MONTH(Einstellungen!$B$4)+1,1))</x:f>
        <x:v>0</x:v>
      </x:c>
      <x:c r="C25" s="33" t="n">
        <x:f>SUMIFS(Datenbasis!$G$13:$G$212,Datenbasis!$H$13:$H$212,A25,Datenbasis!$A$13:$A$212,"&gt;="&amp;Einstellungen!$B$4,Datenbasis!$A$13:$A$212,"&lt;"&amp;DATE(YEAR(Einstellungen!$B$4),MONTH(Einstellungen!$B$4)+1,1))</x:f>
        <x:v>0</x:v>
      </x:c>
      <x:c r="D25" s="28" t="str">
        <x:f t="shared" si="0"/>
      </x:c>
      <x:c r="E25" s="1"/>
      <x:c r="F25" s="1"/>
      <x:c r="G25" s="1"/>
      <x:c r="H25" s="1"/>
    </x:row>
    <x:row r="26" ht="15">
      <x:c r="A26" s="28">
        <x:v>31</x:v>
      </x:c>
      <x:c r="B26" s="29" t="n">
        <x:f>SUMIFS(Datenbasis!$E$13:$E$212,Datenbasis!$H$13:$H$212,A26,Datenbasis!$A$13:$A$212,"&gt;="&amp;Einstellungen!$B$4,Datenbasis!$A$13:$A$212,"&lt;"&amp;DATE(YEAR(Einstellungen!$B$4),MONTH(Einstellungen!$B$4)+1,1))</x:f>
        <x:v>0</x:v>
      </x:c>
      <x:c r="C26" s="33" t="n">
        <x:f>SUMIFS(Datenbasis!$G$13:$G$212,Datenbasis!$H$13:$H$212,A26,Datenbasis!$A$13:$A$212,"&gt;="&amp;Einstellungen!$B$4,Datenbasis!$A$13:$A$212,"&lt;"&amp;DATE(YEAR(Einstellungen!$B$4),MONTH(Einstellungen!$B$4)+1,1))</x:f>
        <x:v>0</x:v>
      </x:c>
      <x:c r="D26" s="28" t="str">
        <x:f t="shared" si="0"/>
      </x:c>
      <x:c r="E26" s="1"/>
      <x:c r="F26" s="1"/>
      <x:c r="G26" s="1"/>
      <x:c r="H26" s="1"/>
    </x:row>
    <x:row r="27" ht="15">
      <x:c r="A27" s="28">
        <x:v>32</x:v>
      </x:c>
      <x:c r="B27" s="29" t="n">
        <x:f>SUMIFS(Datenbasis!$E$13:$E$212,Datenbasis!$H$13:$H$212,A27,Datenbasis!$A$13:$A$212,"&gt;="&amp;Einstellungen!$B$4,Datenbasis!$A$13:$A$212,"&lt;"&amp;DATE(YEAR(Einstellungen!$B$4),MONTH(Einstellungen!$B$4)+1,1))</x:f>
        <x:v>0</x:v>
      </x:c>
      <x:c r="C27" s="33" t="n">
        <x:f>SUMIFS(Datenbasis!$G$13:$G$212,Datenbasis!$H$13:$H$212,A27,Datenbasis!$A$13:$A$212,"&gt;="&amp;Einstellungen!$B$4,Datenbasis!$A$13:$A$212,"&lt;"&amp;DATE(YEAR(Einstellungen!$B$4),MONTH(Einstellungen!$B$4)+1,1))</x:f>
        <x:v>0</x:v>
      </x:c>
      <x:c r="D27" s="28" t="str">
        <x:f t="shared" si="0"/>
      </x:c>
      <x:c r="E27" s="1"/>
      <x:c r="F27" s="1"/>
      <x:c r="G27" s="1"/>
      <x:c r="H27" s="1"/>
    </x:row>
    <x:row r="28" ht="15">
      <x:c r="A28" s="28">
        <x:v>33</x:v>
      </x:c>
      <x:c r="B28" s="29" t="n">
        <x:f>SUMIFS(Datenbasis!$E$13:$E$212,Datenbasis!$H$13:$H$212,A28,Datenbasis!$A$13:$A$212,"&gt;="&amp;Einstellungen!$B$4,Datenbasis!$A$13:$A$212,"&lt;"&amp;DATE(YEAR(Einstellungen!$B$4),MONTH(Einstellungen!$B$4)+1,1))</x:f>
        <x:v>0</x:v>
      </x:c>
      <x:c r="C28" s="33" t="n">
        <x:f>SUMIFS(Datenbasis!$G$13:$G$212,Datenbasis!$H$13:$H$212,A28,Datenbasis!$A$13:$A$212,"&gt;="&amp;Einstellungen!$B$4,Datenbasis!$A$13:$A$212,"&lt;"&amp;DATE(YEAR(Einstellungen!$B$4),MONTH(Einstellungen!$B$4)+1,1))</x:f>
        <x:v>0</x:v>
      </x:c>
      <x:c r="D28" s="28" t="str">
        <x:f t="shared" si="0"/>
      </x:c>
      <x:c r="E28" s="1"/>
      <x:c r="F28" s="1"/>
      <x:c r="G28" s="1"/>
      <x:c r="H28" s="1"/>
    </x:row>
  </x:sheetData>
  <x:mergeCells>
    <x:mergeCell ref="B14:H14"/>
    <x:mergeCell ref="B15:H15"/>
    <x:mergeCell ref="B16:H16"/>
    <x:mergeCell ref="A1:H1"/>
    <x:mergeCell ref="A2:H2"/>
    <x:mergeCell ref="A11:H11"/>
    <x:mergeCell ref="B12:H12"/>
    <x:mergeCell ref="B13:H13"/>
  </x:mergeCells>
  <x:pageMargins left="0.7" right="0.7" top="0.75" bottom="0.75" header="0.3" footer="0.3"/>
  <x:drawing xmlns:r="http://schemas.openxmlformats.org/officeDocument/2006/relationships" r:id="Rdd36aa8582e441f5"/>
  <x:legacyDrawing xmlns:r="http://schemas.openxmlformats.org/officeDocument/2006/relationships" r:id="Ra004f3d953784de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20" customWidth="1"/>
    <x:col min="3" max="3" width="92" customWidth="1"/>
    <x:col min="4" max="4" width="10" customWidth="1"/>
    <x:col min="5" max="5" width="16" customWidth="1"/>
    <x:col min="6" max="6" width="18" customWidth="1"/>
  </x:cols>
  <x:sheetData>
    <x:row r="1" ht="28.5" customHeight="1">
      <x:c r="A1" s="44" t="s">
        <x:v>81</x:v>
      </x:c>
      <x:c r="B1" s="44" t="s">
        <x:v>81</x:v>
      </x:c>
      <x:c r="C1" s="44" t="s">
        <x:v>81</x:v>
      </x:c>
      <x:c r="D1" s="44" t="s">
        <x:v>81</x:v>
      </x:c>
      <x:c r="E1" s="44" t="s">
        <x:v>81</x:v>
      </x:c>
      <x:c r="F1" s="44" t="s">
        <x:v>81</x:v>
      </x:c>
      <x:c r="G1" s="1"/>
      <x:c r="H1" s="1"/>
    </x:row>
    <x:row r="2" ht="25.5" customHeight="1">
      <x:c r="A2" s="45" t="s">
        <x:v>82</x:v>
      </x:c>
      <x:c r="B2" s="45" t="s">
        <x:v>82</x:v>
      </x:c>
      <x:c r="C2" s="45" t="s">
        <x:v>82</x:v>
      </x:c>
      <x:c r="D2" s="45" t="s">
        <x:v>82</x:v>
      </x:c>
      <x:c r="E2" s="45" t="s">
        <x:v>82</x:v>
      </x:c>
      <x:c r="F2" s="45" t="s">
        <x:v>82</x:v>
      </x:c>
      <x:c r="G2" s="45" t="s">
        <x:v>82</x:v>
      </x:c>
      <x:c r="H2" s="45" t="s">
        <x:v>82</x:v>
      </x:c>
    </x:row>
    <x:row r="3" ht="15">
      <x:c r="A3" s="1"/>
      <x:c r="B3" s="1"/>
      <x:c r="C3" s="1"/>
      <x:c r="D3" s="1"/>
      <x:c r="E3" s="1"/>
      <x:c r="F3" s="1"/>
      <x:c r="G3" s="1"/>
      <x:c r="H3" s="1"/>
    </x:row>
    <x:row r="4" ht="15">
      <x:c r="A4" s="24" t="s">
        <x:v>28</x:v>
      </x:c>
      <x:c r="B4" s="34" t="str">
        <x:f>Einstellungen!F5</x:f>
        <x:v>Juni 2026</x:v>
      </x:c>
      <x:c r="C4" s="24" t="s">
        <x:v>9</x:v>
      </x:c>
      <x:c r="D4" s="35" t="str">
        <x:f>Einstellungen!B6</x:f>
        <x:v>Robert</x:v>
      </x:c>
      <x:c r="E4" s="24" t="s">
        <x:v>13</x:v>
      </x:c>
      <x:c r="F4" s="35" t="str">
        <x:f>Einstellungen!B7</x:f>
        <x:v>Maria</x:v>
      </x:c>
      <x:c r="G4" s="1"/>
      <x:c r="H4" s="1"/>
    </x:row>
    <x:row r="5" ht="15">
      <x:c r="A5" s="24" t="s">
        <x:v>69</x:v>
      </x:c>
      <x:c r="B5" s="36" t="n">
        <x:f>Datenbasis!D5</x:f>
        <x:v>26.299999999999997</x:v>
      </x:c>
      <x:c r="C5" s="24" t="s">
        <x:v>6</x:v>
      </x:c>
      <x:c r="D5" s="36" t="n">
        <x:f>Einstellungen!B5</x:f>
        <x:v>85</x:v>
      </x:c>
      <x:c r="E5" s="24" t="s">
        <x:v>36</x:v>
      </x:c>
      <x:c r="F5" s="37" t="n">
        <x:f>Datenbasis!E5</x:f>
        <x:v>2235.5</x:v>
      </x:c>
      <x:c r="G5" s="1"/>
      <x:c r="H5" s="1"/>
    </x:row>
    <x:row r="6" ht="15">
      <x:c r="A6" s="24" t="s">
        <x:v>83</x:v>
      </x:c>
      <x:c r="B6" s="54" t="s">
        <x:v>84</x:v>
      </x:c>
      <x:c r="C6" s="55"/>
      <x:c r="D6" s="55"/>
      <x:c r="E6" s="55"/>
      <x:c r="F6" s="56"/>
      <x:c r="G6" s="1"/>
      <x:c r="H6" s="1"/>
    </x:row>
    <x:row r="7" ht="15">
      <x:c r="A7" s="24"/>
      <x:c r="B7" s="57"/>
      <x:c r="C7" s="58"/>
      <x:c r="D7" s="58"/>
      <x:c r="E7" s="58"/>
      <x:c r="F7" s="59"/>
      <x:c r="G7" s="1"/>
      <x:c r="H7" s="1"/>
    </x:row>
    <x:row r="8" ht="15">
      <x:c r="A8" s="24"/>
      <x:c r="B8" s="60"/>
      <x:c r="C8" s="61"/>
      <x:c r="D8" s="61"/>
      <x:c r="E8" s="61"/>
      <x:c r="F8" s="62"/>
      <x:c r="G8" s="1"/>
      <x:c r="H8" s="1"/>
    </x:row>
    <x:row r="9" ht="15">
      <x:c r="A9" s="1"/>
      <x:c r="B9" s="1"/>
      <x:c r="C9" s="1"/>
      <x:c r="D9" s="1"/>
      <x:c r="E9" s="1"/>
      <x:c r="F9" s="1"/>
      <x:c r="G9" s="1"/>
      <x:c r="H9" s="1"/>
    </x:row>
    <x:row r="10" ht="15">
      <x:c r="A10" s="1"/>
      <x:c r="B10" s="1"/>
      <x:c r="C10" s="1"/>
      <x:c r="D10" s="1"/>
      <x:c r="E10" s="1"/>
      <x:c r="F10" s="1"/>
      <x:c r="G10" s="1"/>
      <x:c r="H10" s="1"/>
    </x:row>
    <x:row r="11" ht="15">
      <x:c r="A11" s="26" t="s">
        <x:v>31</x:v>
      </x:c>
      <x:c r="B11" s="26" t="s">
        <x:v>32</x:v>
      </x:c>
      <x:c r="C11" s="26" t="s">
        <x:v>34</x:v>
      </x:c>
      <x:c r="D11" s="26" t="s">
        <x:v>85</x:v>
      </x:c>
      <x:c r="E11" s="26" t="s">
        <x:v>39</x:v>
      </x:c>
      <x:c r="F11" s="1"/>
      <x:c r="G11" s="1"/>
      <x:c r="H11" s="1"/>
    </x:row>
    <x:row r="12" ht="54" customHeight="1">
      <x:c r="A12" s="38" t="n">
        <x:f>IF(AND(Datenbasis!$A13&gt;=Einstellungen!$B$4,Datenbasis!$A13&lt;DATE(YEAR(Einstellungen!$B$4),MONTH(Einstellungen!$B$4)+1,1)),Datenbasis!$A13,"")</x:f>
        <x:v>46190</x:v>
      </x:c>
      <x:c r="B12" s="28" t="str">
        <x:f>IF($A12="","",Datenbasis!$B13)</x:f>
        <x:v>QR Code</x:v>
      </x:c>
      <x:c r="C12" s="28" t="str">
        <x:f>IF($A12="","",Datenbasis!$C13&amp;": "&amp;Datenbasis!$D13)</x:f>
        <x:v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x:v>
      </x:c>
      <x:c r="D12" s="39" t="n">
        <x:f>IF($A12="","",Datenbasis!$E13)</x:f>
        <x:v>3.15</x:v>
      </x:c>
      <x:c r="E12" s="28" t="str">
        <x:f>IF($A12="","",Datenbasis!$K13)</x:f>
        <x:v>Abgeschlossen</x:v>
      </x:c>
      <x:c r="F12" s="1"/>
      <x:c r="G12" s="1"/>
      <x:c r="H12" s="1"/>
    </x:row>
    <x:row r="13" ht="54" customHeight="1">
      <x:c r="A13" s="38" t="n">
        <x:f>IF(AND(Datenbasis!$A14&gt;=Einstellungen!$B$4,Datenbasis!$A14&lt;DATE(YEAR(Einstellungen!$B$4),MONTH(Einstellungen!$B$4)+1,1)),Datenbasis!$A14,"")</x:f>
        <x:v>46191</x:v>
      </x:c>
      <x:c r="B13" s="28" t="str">
        <x:f>IF($A13="","",Datenbasis!$B14)</x:f>
        <x:v>Technisches Setup</x:v>
      </x:c>
      <x:c r="C13" s="28" t="str">
        <x:f>IF($A13="","",Datenbasis!$C14&amp;": "&amp;Datenbasis!$D14)</x:f>
        <x:v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x:v>
      </x:c>
      <x:c r="D13" s="39" t="n">
        <x:f>IF($A13="","",Datenbasis!$E14)</x:f>
        <x:v>0.75</x:v>
      </x:c>
      <x:c r="E13" s="28" t="str">
        <x:f>IF($A13="","",Datenbasis!$K14)</x:f>
        <x:v>Abgeschlossen</x:v>
      </x:c>
      <x:c r="F13" s="1"/>
      <x:c r="G13" s="1"/>
      <x:c r="H13" s="1"/>
    </x:row>
    <x:row r="14" ht="54" customHeight="1">
      <x:c r="A14" s="38" t="n">
        <x:f>IF(AND(Datenbasis!$A15&gt;=Einstellungen!$B$4,Datenbasis!$A15&lt;DATE(YEAR(Einstellungen!$B$4),MONTH(Einstellungen!$B$4)+1,1)),Datenbasis!$A15,"")</x:f>
        <x:v>46191</x:v>
      </x:c>
      <x:c r="B14" s="28" t="str">
        <x:f>IF($A14="","",Datenbasis!$B15)</x:f>
        <x:v>QR Code</x:v>
      </x:c>
      <x:c r="C14" s="28" t="str">
        <x:f>IF($A14="","",Datenbasis!$C15&amp;": "&amp;Datenbasis!$D15)</x:f>
        <x:v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x:v>
      </x:c>
      <x:c r="D14" s="39" t="n">
        <x:f>IF($A14="","",Datenbasis!$E15)</x:f>
        <x:v>1.5</x:v>
      </x:c>
      <x:c r="E14" s="28" t="str">
        <x:f>IF($A14="","",Datenbasis!$K15)</x:f>
        <x:v>Abgeschlossen</x:v>
      </x:c>
      <x:c r="F14" s="1"/>
      <x:c r="G14" s="1"/>
      <x:c r="H14" s="1"/>
    </x:row>
    <x:row r="15" ht="54" customHeight="1">
      <x:c r="A15" s="38" t="n">
        <x:f>IF(AND(Datenbasis!$A16&gt;=Einstellungen!$B$4,Datenbasis!$A16&lt;DATE(YEAR(Einstellungen!$B$4),MONTH(Einstellungen!$B$4)+1,1)),Datenbasis!$A16,"")</x:f>
        <x:v>46191</x:v>
      </x:c>
      <x:c r="B15" s="28" t="str">
        <x:f>IF($A15="","",Datenbasis!$B16)</x:f>
        <x:v>Asana / Monday</x:v>
      </x:c>
      <x:c r="C15" s="28" t="str">
        <x:f>IF($A15="","",Datenbasis!$C16&amp;": "&amp;Datenbasis!$D16)</x:f>
        <x:v>Projektplan Migration Monday zu Asana: Aufsetzen eines ersten Projektplan-Rahmens für die Ablösung von Monday durch Asana inklusive erster Sichtung der Asana Features.</x:v>
      </x:c>
      <x:c r="D15" s="39" t="n">
        <x:f>IF($A15="","",Datenbasis!$E16)</x:f>
        <x:v>0.5</x:v>
      </x:c>
      <x:c r="E15" s="28" t="str">
        <x:f>IF($A15="","",Datenbasis!$K16)</x:f>
        <x:v>Initial</x:v>
      </x:c>
      <x:c r="F15" s="1"/>
      <x:c r="G15" s="1"/>
      <x:c r="H15" s="1"/>
    </x:row>
    <x:row r="16" ht="54" customHeight="1">
      <x:c r="A16" s="38" t="n">
        <x:f>IF(AND(Datenbasis!$A17&gt;=Einstellungen!$B$4,Datenbasis!$A17&lt;DATE(YEAR(Einstellungen!$B$4),MONTH(Einstellungen!$B$4)+1,1)),Datenbasis!$A17,"")</x:f>
        <x:v>46192</x:v>
      </x:c>
      <x:c r="B16" s="28" t="str">
        <x:f>IF($A16="","",Datenbasis!$B17)</x:f>
        <x:v>Asana / Monday</x:v>
      </x:c>
      <x:c r="C16" s="28" t="str">
        <x:f>IF($A16="","",Datenbasis!$C17&amp;": "&amp;Datenbasis!$D17)</x:f>
        <x:v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x:v>
      </x:c>
      <x:c r="D16" s="39" t="n">
        <x:f>IF($A16="","",Datenbasis!$E17)</x:f>
        <x:v>1.15</x:v>
      </x:c>
      <x:c r="E16" s="28" t="str">
        <x:f>IF($A16="","",Datenbasis!$K17)</x:f>
        <x:v>Initial</x:v>
      </x:c>
      <x:c r="F16" s="1"/>
      <x:c r="G16" s="1"/>
      <x:c r="H16" s="1"/>
    </x:row>
    <x:row r="17" ht="54" customHeight="1">
      <x:c r="A17" s="38" t="n">
        <x:f>IF(AND(Datenbasis!$A18&gt;=Einstellungen!$B$4,Datenbasis!$A18&lt;DATE(YEAR(Einstellungen!$B$4),MONTH(Einstellungen!$B$4)+1,1)),Datenbasis!$A18,"")</x:f>
        <x:v>46193</x:v>
      </x:c>
      <x:c r="B17" s="28" t="str">
        <x:f>IF($A17="","",Datenbasis!$B18)</x:f>
        <x:v>QR Code</x:v>
      </x:c>
      <x:c r="C17" s="28" t="str">
        <x:f>IF($A17="","",Datenbasis!$C18&amp;": "&amp;Datenbasis!$D18)</x:f>
        <x:v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x:v>
      </x:c>
      <x:c r="D17" s="39" t="n">
        <x:f>IF($A17="","",Datenbasis!$E18)</x:f>
        <x:v>2.75</x:v>
      </x:c>
      <x:c r="E17" s="28" t="str">
        <x:f>IF($A17="","",Datenbasis!$K18)</x:f>
        <x:v>Abgeschlossen</x:v>
      </x:c>
      <x:c r="F17" s="1"/>
      <x:c r="G17" s="1"/>
      <x:c r="H17" s="1"/>
    </x:row>
    <x:row r="18" ht="54" customHeight="1">
      <x:c r="A18" s="38" t="n">
        <x:f>IF(AND(Datenbasis!$A19&gt;=Einstellungen!$B$4,Datenbasis!$A19&lt;DATE(YEAR(Einstellungen!$B$4),MONTH(Einstellungen!$B$4)+1,1)),Datenbasis!$A19,"")</x:f>
        <x:v>46194</x:v>
      </x:c>
      <x:c r="B18" s="28" t="str">
        <x:f>IF($A18="","",Datenbasis!$B19)</x:f>
        <x:v>QR Code</x:v>
      </x:c>
      <x:c r="C18" s="28" t="str">
        <x:f>IF($A18="","",Datenbasis!$C19&amp;": "&amp;Datenbasis!$D19)</x:f>
        <x:v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x:v>
      </x:c>
      <x:c r="D18" s="39" t="n">
        <x:f>IF($A18="","",Datenbasis!$E19)</x:f>
        <x:v>0.5</x:v>
      </x:c>
      <x:c r="E18" s="28" t="str">
        <x:f>IF($A18="","",Datenbasis!$K19)</x:f>
        <x:v>Abgeschlossen</x:v>
      </x:c>
      <x:c r="F18" s="1"/>
      <x:c r="G18" s="1"/>
      <x:c r="H18" s="1"/>
    </x:row>
    <x:row r="19" ht="54" customHeight="1">
      <x:c r="A19" s="38" t="str">
        <x:f>IF(AND(Datenbasis!$A20&gt;=Einstellungen!$B$4,Datenbasis!$A20&lt;DATE(YEAR(Einstellungen!$B$4),MONTH(Einstellungen!$B$4)+1,1)),Datenbasis!$A20,"")</x:f>
      </x:c>
      <x:c r="B19" s="28" t="str">
        <x:f>IF($A19="","",Datenbasis!$B20)</x:f>
      </x:c>
      <x:c r="C19" s="28" t="str">
        <x:f>IF($A19="","",Datenbasis!$C20&amp;": "&amp;Datenbasis!$D20)</x:f>
      </x:c>
      <x:c r="D19" s="39" t="str">
        <x:f>IF($A19="","",Datenbasis!$E20)</x:f>
      </x:c>
      <x:c r="E19" s="28" t="str">
        <x:f>IF($A19="","",Datenbasis!$K20)</x:f>
      </x:c>
      <x:c r="F19" s="1"/>
      <x:c r="G19" s="1"/>
      <x:c r="H19" s="1"/>
    </x:row>
    <x:row r="20" ht="54" customHeight="1">
      <x:c r="A20" s="38" t="n">
        <x:f>IF(AND(Datenbasis!$A21&gt;=Einstellungen!$B$4,Datenbasis!$A21&lt;DATE(YEAR(Einstellungen!$B$4),MONTH(Einstellungen!$B$4)+1,1)),Datenbasis!$A21,"")</x:f>
        <x:v>46196</x:v>
      </x:c>
      <x:c r="B20" s="28" t="str">
        <x:f>IF($A20="","",Datenbasis!$B21)</x:f>
        <x:v>QR Code</x:v>
      </x:c>
      <x:c r="C20" s="28" t="str">
        <x:f>IF($A20="","",Datenbasis!$C21&amp;": "&amp;Datenbasis!$D21)</x:f>
        <x:v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x:v>
      </x:c>
      <x:c r="D20" s="39" t="n">
        <x:f>IF($A20="","",Datenbasis!$E21)</x:f>
        <x:v>1.2</x:v>
      </x:c>
      <x:c r="E20" s="28" t="e">
        <x:f>IF($A20="","",Datenbasis!$K21)</x:f>
        <x:v>#VALUE!</x:v>
      </x:c>
      <x:c r="F20" s="1"/>
      <x:c r="G20" s="1"/>
      <x:c r="H20" s="1"/>
    </x:row>
    <x:row r="21" ht="54" customHeight="1">
      <x:c r="A21" s="38" t="n">
        <x:f>IF(AND(Datenbasis!$A22&gt;=Einstellungen!$B$4,Datenbasis!$A22&lt;DATE(YEAR(Einstellungen!$B$4),MONTH(Einstellungen!$B$4)+1,1)),Datenbasis!$A22,"")</x:f>
        <x:v>46197</x:v>
      </x:c>
      <x:c r="B21" s="28" t="str">
        <x:f>IF($A21="","",Datenbasis!$B22)</x:f>
        <x:v>Studie 2027</x:v>
      </x:c>
      <x:c r="C21" s="28" t="str">
        <x:f>IF($A21="","",Datenbasis!$C22&amp;": "&amp;Datenbasis!$D22)</x:f>
        <x:v>Abstimmung Testvarianten Studienkonzept: Abstimmung mit Jule, Simone und Cathleen zur Konzeption und Einordnung der vier vorgesehenen Testvarianten; Klärung zentraler Anforderungen, Variantenlogik und nächster Schritte für die weitere Studienplanung.</x:v>
      </x:c>
      <x:c r="D21" s="39" t="n">
        <x:f>IF($A21="","",Datenbasis!$E22)</x:f>
        <x:v>1</x:v>
      </x:c>
      <x:c r="E21" s="28" t="e">
        <x:f>IF($A21="","",Datenbasis!$K22)</x:f>
        <x:v>#VALUE!</x:v>
      </x:c>
      <x:c r="F21" s="1"/>
      <x:c r="G21" s="1"/>
      <x:c r="H21" s="1"/>
    </x:row>
    <x:row r="22" ht="54" customHeight="1">
      <x:c r="A22" s="38" t="n">
        <x:f>IF(AND(Datenbasis!$A23&gt;=Einstellungen!$B$4,Datenbasis!$A23&lt;DATE(YEAR(Einstellungen!$B$4),MONTH(Einstellungen!$B$4)+1,1)),Datenbasis!$A23,"")</x:f>
        <x:v>46197</x:v>
      </x:c>
      <x:c r="B22" s="28" t="str">
        <x:f>IF($A22="","",Datenbasis!$B23)</x:f>
        <x:v>Studie 2027</x:v>
      </x:c>
      <x:c r="C22" s="28" t="str">
        <x:f>IF($A22="","",Datenbasis!$C23&amp;": "&amp;Datenbasis!$D23)</x:f>
        <x:v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x:v>
      </x:c>
      <x:c r="D22" s="39" t="n">
        <x:f>IF($A22="","",Datenbasis!$E23)</x:f>
        <x:v>1.6</x:v>
      </x:c>
      <x:c r="E22" s="28" t="e">
        <x:f>IF($A22="","",Datenbasis!$K23)</x:f>
        <x:v>#VALUE!</x:v>
      </x:c>
      <x:c r="F22" s="1"/>
      <x:c r="G22" s="1"/>
      <x:c r="H22" s="1"/>
    </x:row>
    <x:row r="23" ht="54" customHeight="1">
      <x:c r="A23" s="38" t="n">
        <x:f>IF(AND(Datenbasis!$A24&gt;=Einstellungen!$B$4,Datenbasis!$A24&lt;DATE(YEAR(Einstellungen!$B$4),MONTH(Einstellungen!$B$4)+1,1)),Datenbasis!$A24,"")</x:f>
        <x:v>46197</x:v>
      </x:c>
      <x:c r="B23" s="28" t="str">
        <x:f>IF($A23="","",Datenbasis!$B24)</x:f>
        <x:v>Studie 2027</x:v>
      </x:c>
      <x:c r="C23" s="28" t="str">
        <x:f>IF($A23="","",Datenbasis!$C24&amp;": "&amp;Datenbasis!$D24)</x:f>
        <x:v>Briefing Präsentationsausarbeitung: Erstellung und Strukturierung eines Briefings für Cathleen zur weiteren Bearbeitung der Präsentation, inklusive Zusammenfassung relevanter Inhalte und Anforderungen für die nächste Ausarbeitungsschleife.</x:v>
      </x:c>
      <x:c r="D23" s="39" t="n">
        <x:f>IF($A23="","",Datenbasis!$E24)</x:f>
        <x:v>0.5</x:v>
      </x:c>
      <x:c r="E23" s="28" t="e">
        <x:f>IF($A23="","",Datenbasis!$K24)</x:f>
        <x:v>#VALUE!</x:v>
      </x:c>
      <x:c r="F23" s="1"/>
      <x:c r="G23" s="1"/>
      <x:c r="H23" s="1"/>
    </x:row>
    <x:row r="24" ht="54" customHeight="1">
      <x:c r="A24" s="38" t="n">
        <x:f>IF(AND(Datenbasis!$A25&gt;=Einstellungen!$B$4,Datenbasis!$A25&lt;DATE(YEAR(Einstellungen!$B$4),MONTH(Einstellungen!$B$4)+1,1)),Datenbasis!$A25,"")</x:f>
        <x:v>46198</x:v>
      </x:c>
      <x:c r="B24" s="28" t="str">
        <x:f>IF($A24="","",Datenbasis!$B25)</x:f>
        <x:v>Studie 2027</x:v>
      </x:c>
      <x:c r="C24" s="28" t="str">
        <x:f>IF($A24="","",Datenbasis!$C25&amp;": "&amp;Datenbasis!$D25)</x:f>
        <x:v>Finalisierung Briefing und Visualisierungstexte: Finalisierung des Briefings für Cathleen sowie Ausarbeitung und Präzisierung von Textvorschlägen und Visualisierungsansätzen für die Studienpräsentation.</x:v>
      </x:c>
      <x:c r="D24" s="39" t="n">
        <x:f>IF($A24="","",Datenbasis!$E25)</x:f>
        <x:v>1.2</x:v>
      </x:c>
      <x:c r="E24" s="28" t="e">
        <x:f>IF($A24="","",Datenbasis!$K25)</x:f>
        <x:v>#VALUE!</x:v>
      </x:c>
      <x:c r="F24" s="1"/>
      <x:c r="G24" s="1"/>
      <x:c r="H24" s="1"/>
    </x:row>
    <x:row r="25" ht="54" customHeight="1">
      <x:c r="A25" s="38" t="n">
        <x:f>IF(AND(Datenbasis!$A26&gt;=Einstellungen!$B$4,Datenbasis!$A26&lt;DATE(YEAR(Einstellungen!$B$4),MONTH(Einstellungen!$B$4)+1,1)),Datenbasis!$A26,"")</x:f>
        <x:v>46198</x:v>
      </x:c>
      <x:c r="B25" s="28" t="str">
        <x:f>IF($A25="","",Datenbasis!$B26)</x:f>
        <x:v>Studie 2027</x:v>
      </x:c>
      <x:c r="C25" s="28" t="str">
        <x:f>IF($A25="","",Datenbasis!$C26&amp;": "&amp;Datenbasis!$D26)</x:f>
        <x:v>Anfrage POSTWURFSPEZIAL: Vorbereitung und Formulierung der Anfrage zu POSTWURFSPEZIAL unter Berücksichtigung der für die Studienumsetzung relevanten Anforderungen und Abstimmungsbedarfe.</x:v>
      </x:c>
      <x:c r="D25" s="39" t="n">
        <x:f>IF($A25="","",Datenbasis!$E26)</x:f>
        <x:v>0.6</x:v>
      </x:c>
      <x:c r="E25" s="28" t="e">
        <x:f>IF($A25="","",Datenbasis!$K26)</x:f>
        <x:v>#VALUE!</x:v>
      </x:c>
      <x:c r="F25" s="1"/>
      <x:c r="G25" s="1"/>
      <x:c r="H25" s="1"/>
    </x:row>
    <x:row r="26" ht="54" customHeight="1">
      <x:c r="A26" s="38" t="n">
        <x:f>IF(AND(Datenbasis!$A27&gt;=Einstellungen!$B$4,Datenbasis!$A27&lt;DATE(YEAR(Einstellungen!$B$4),MONTH(Einstellungen!$B$4)+1,1)),Datenbasis!$A27,"")</x:f>
        <x:v>46198</x:v>
      </x:c>
      <x:c r="B26" s="28" t="str">
        <x:f>IF($A26="","",Datenbasis!$B27)</x:f>
        <x:v>Studie 2027</x:v>
      </x:c>
      <x:c r="C26" s="28" t="str">
        <x:f>IF($A26="","",Datenbasis!$C27&amp;": "&amp;Datenbasis!$D27)</x:f>
        <x:v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x:v>
      </x:c>
      <x:c r="D26" s="39" t="n">
        <x:f>IF($A26="","",Datenbasis!$E27)</x:f>
        <x:v>2.15</x:v>
      </x:c>
      <x:c r="E26" s="28" t="e">
        <x:f>IF($A26="","",Datenbasis!$K27)</x:f>
        <x:v>#VALUE!</x:v>
      </x:c>
      <x:c r="F26" s="1"/>
      <x:c r="G26" s="1"/>
      <x:c r="H26" s="1"/>
    </x:row>
    <x:row r="27" ht="54" customHeight="1">
      <x:c r="A27" s="38" t="n">
        <x:f>IF(AND(Datenbasis!$A28&gt;=Einstellungen!$B$4,Datenbasis!$A28&lt;DATE(YEAR(Einstellungen!$B$4),MONTH(Einstellungen!$B$4)+1,1)),Datenbasis!$A28,"")</x:f>
        <x:v>46198</x:v>
      </x:c>
      <x:c r="B27" s="28" t="str">
        <x:f>IF($A27="","",Datenbasis!$B28)</x:f>
        <x:v>Studie 2027</x:v>
      </x:c>
      <x:c r="C27" s="28" t="str">
        <x:f>IF($A27="","",Datenbasis!$C28&amp;": "&amp;Datenbasis!$D28)</x:f>
        <x:v>Klärung Pre-Test-Vorgehen: Klärung des geplanten Pre-Test-Vorgehens mit dem Team, einschließlich Abstimmung offener Punkte und Einordnung der nächsten Schritte für die weitere Studienvorbereitung.</x:v>
      </x:c>
      <x:c r="D27" s="39" t="n">
        <x:f>IF($A27="","",Datenbasis!$E28)</x:f>
        <x:v>0.3</x:v>
      </x:c>
      <x:c r="E27" s="28" t="e">
        <x:f>IF($A27="","",Datenbasis!$K28)</x:f>
        <x:v>#VALUE!</x:v>
      </x:c>
      <x:c r="F27" s="1"/>
      <x:c r="G27" s="1"/>
      <x:c r="H27" s="1"/>
    </x:row>
    <x:row r="28" ht="54" customHeight="1">
      <x:c r="A28" s="38" t="n">
        <x:f>IF(AND(Datenbasis!$A29&gt;=Einstellungen!$B$4,Datenbasis!$A29&lt;DATE(YEAR(Einstellungen!$B$4),MONTH(Einstellungen!$B$4)+1,1)),Datenbasis!$A29,"")</x:f>
        <x:v>46198</x:v>
      </x:c>
      <x:c r="B28" s="28" t="str">
        <x:f>IF($A28="","",Datenbasis!$B29)</x:f>
        <x:v>Studie 2027</x:v>
      </x:c>
      <x:c r="C28" s="28" t="str">
        <x:f>IF($A28="","",Datenbasis!$C29&amp;": "&amp;Datenbasis!$D29)</x:f>
        <x:v>Statusabfrage und Arbeitspaket-Update: Einholung aktueller Statusinformationen und Aktualisierung der Arbeitspakete bis zum 03.07.; Strukturierung der offenen Punkte und Nachverfolgung relevanter Zuständigkeiten.</x:v>
      </x:c>
      <x:c r="D28" s="39" t="n">
        <x:f>IF($A28="","",Datenbasis!$E29)</x:f>
        <x:v>0.5</x:v>
      </x:c>
      <x:c r="E28" s="28" t="e">
        <x:f>IF($A28="","",Datenbasis!$K29)</x:f>
        <x:v>#VALUE!</x:v>
      </x:c>
      <x:c r="F28" s="1"/>
      <x:c r="G28" s="1"/>
      <x:c r="H28" s="1"/>
    </x:row>
    <x:row r="29" ht="54" customHeight="1">
      <x:c r="A29" s="38" t="n">
        <x:f>IF(AND(Datenbasis!$A30&gt;=Einstellungen!$B$4,Datenbasis!$A30&lt;DATE(YEAR(Einstellungen!$B$4),MONTH(Einstellungen!$B$4)+1,1)),Datenbasis!$A30,"")</x:f>
        <x:v>46199</x:v>
      </x:c>
      <x:c r="B29" s="28" t="str">
        <x:f>IF($A29="","",Datenbasis!$B30)</x:f>
        <x:v>Studie 2027</x:v>
      </x:c>
      <x:c r="C29" s="28" t="str">
        <x:f>IF($A29="","",Datenbasis!$C30&amp;": "&amp;Datenbasis!$D30)</x:f>
        <x:v>Testskript und Zusammenfassung: Erstellung eines Skripts und Zusammenfassung der Inhalte als Testfassung für Jule und Simone, einschließlich Aufbereitung der relevanten Punkte für Prüfung, Feedback und weitere Abstimmung.</x:v>
      </x:c>
      <x:c r="D29" s="39" t="n">
        <x:f>IF($A29="","",Datenbasis!$E30)</x:f>
        <x:v>1.55</x:v>
      </x:c>
      <x:c r="E29" s="28" t="e">
        <x:f>IF($A29="","",Datenbasis!$K30)</x:f>
        <x:v>#VALUE!</x:v>
      </x:c>
      <x:c r="F29" s="1"/>
      <x:c r="G29" s="1"/>
      <x:c r="H29" s="1"/>
    </x:row>
    <x:row r="30" ht="54" customHeight="1">
      <x:c r="A30" s="38" t="n">
        <x:f>IF(AND(Datenbasis!$A31&gt;=Einstellungen!$B$4,Datenbasis!$A31&lt;DATE(YEAR(Einstellungen!$B$4),MONTH(Einstellungen!$B$4)+1,1)),Datenbasis!$A31,"")</x:f>
        <x:v>46199</x:v>
      </x:c>
      <x:c r="B30" s="28" t="str">
        <x:f>IF($A30="","",Datenbasis!$B31)</x:f>
        <x:v>Studie 2027</x:v>
      </x:c>
      <x:c r="C30" s="28" t="str">
        <x:f>IF($A30="","",Datenbasis!$C31&amp;": "&amp;Datenbasis!$D31)</x:f>
        <x:v>: Vor- und Nachbereitung der Abstimmung mit Christina und der Termin mit Christina</x:v>
      </x:c>
      <x:c r="D30" s="39" t="n">
        <x:f>IF($A30="","",Datenbasis!$E31)</x:f>
        <x:v>1.1</x:v>
      </x:c>
      <x:c r="E30" s="28" t="e">
        <x:f>IF($A30="","",Datenbasis!$K31)</x:f>
        <x:v>#VALUE!</x:v>
      </x:c>
      <x:c r="F30" s="1"/>
      <x:c r="G30" s="1"/>
      <x:c r="H30" s="1"/>
    </x:row>
    <x:row r="31" ht="54" customHeight="1">
      <x:c r="A31" s="38" t="n">
        <x:f>IF(AND(Datenbasis!$A32&gt;=Einstellungen!$B$4,Datenbasis!$A32&lt;DATE(YEAR(Einstellungen!$B$4),MONTH(Einstellungen!$B$4)+1,1)),Datenbasis!$A32,"")</x:f>
        <x:v>46199</x:v>
      </x:c>
      <x:c r="B31" s="28" t="str">
        <x:f>IF($A31="","",Datenbasis!$B32)</x:f>
        <x:v>Studie 2027</x:v>
      </x:c>
      <x:c r="C31" s="28" t="str">
        <x:f>IF($A31="","",Datenbasis!$C32&amp;": "&amp;Datenbasis!$D32)</x:f>
        <x:v>: Absprache mit Lone und Lisa zu Pre-test und stand der Todos bis Freitag</x:v>
      </x:c>
      <x:c r="D31" s="39" t="n">
        <x:f>IF($A31="","",Datenbasis!$E32)</x:f>
        <x:v>0.7</x:v>
      </x:c>
      <x:c r="E31" s="28" t="e">
        <x:f>IF($A31="","",Datenbasis!$K32)</x:f>
        <x:v>#VALUE!</x:v>
      </x:c>
      <x:c r="F31" s="1"/>
      <x:c r="G31" s="1"/>
      <x:c r="H31" s="1"/>
    </x:row>
    <x:row r="32" ht="54" customHeight="1">
      <x:c r="A32" s="38" t="n">
        <x:f>IF(AND(Datenbasis!$A33&gt;=Einstellungen!$B$4,Datenbasis!$A33&lt;DATE(YEAR(Einstellungen!$B$4),MONTH(Einstellungen!$B$4)+1,1)),Datenbasis!$A33,"")</x:f>
        <x:v>46199</x:v>
      </x:c>
      <x:c r="B32" s="28" t="str">
        <x:f>IF($A32="","",Datenbasis!$B33)</x:f>
        <x:v>Studie 2027</x:v>
      </x:c>
      <x:c r="C32" s="28" t="str">
        <x:f>IF($A32="","",Datenbasis!$C33&amp;": "&amp;Datenbasis!$D33)</x:f>
        <x:v>: Review Präsentationsüberarbeitung von cathleen</x:v>
      </x:c>
      <x:c r="D32" s="39" t="n">
        <x:f>IF($A32="","",Datenbasis!$E33)</x:f>
        <x:v>0.65</x:v>
      </x:c>
      <x:c r="E32" s="28" t="e">
        <x:f>IF($A32="","",Datenbasis!$K33)</x:f>
        <x:v>#VALUE!</x:v>
      </x:c>
      <x:c r="F32" s="1"/>
      <x:c r="G32" s="1"/>
      <x:c r="H32" s="1"/>
    </x:row>
    <x:row r="33" ht="54" customHeight="1">
      <x:c r="A33" s="38" t="n">
        <x:f>IF(AND(Datenbasis!$A34&gt;=Einstellungen!$B$4,Datenbasis!$A34&lt;DATE(YEAR(Einstellungen!$B$4),MONTH(Einstellungen!$B$4)+1,1)),Datenbasis!$A34,"")</x:f>
        <x:v>46199</x:v>
      </x:c>
      <x:c r="B33" s="28" t="str">
        <x:f>IF($A33="","",Datenbasis!$B34)</x:f>
        <x:v>Studie 2027</x:v>
      </x:c>
      <x:c r="C33" s="28" t="str">
        <x:f>IF($A33="","",Datenbasis!$C34&amp;": "&amp;Datenbasis!$D34)</x:f>
        <x:v>: Status Update einsammeln und aufbereiten, Ergbenisse anschauen und Rücksprachen</x:v>
      </x:c>
      <x:c r="D33" s="39" t="n">
        <x:f>IF($A33="","",Datenbasis!$E34)</x:f>
        <x:v>0.75</x:v>
      </x:c>
      <x:c r="E33" s="28" t="e">
        <x:f>IF($A33="","",Datenbasis!$K34)</x:f>
        <x:v>#VALUE!</x:v>
      </x:c>
      <x:c r="F33" s="1"/>
      <x:c r="G33" s="1"/>
      <x:c r="H33" s="1"/>
    </x:row>
    <x:row r="34" ht="54" customHeight="1">
      <x:c r="A34" s="38" t="n">
        <x:f>IF(AND(Datenbasis!$A35&gt;=Einstellungen!$B$4,Datenbasis!$A35&lt;DATE(YEAR(Einstellungen!$B$4),MONTH(Einstellungen!$B$4)+1,1)),Datenbasis!$A35,"")</x:f>
        <x:v>46199</x:v>
      </x:c>
      <x:c r="B34" s="28" t="str">
        <x:f>IF($A34="","",Datenbasis!$B35)</x:f>
        <x:v>Studie 2027</x:v>
      </x:c>
      <x:c r="C34" s="28" t="str">
        <x:f>IF($A34="","",Datenbasis!$C35&amp;": "&amp;Datenbasis!$D35)</x:f>
        <x:v>: Auswertung Testlauf InDesign Skript</x:v>
      </x:c>
      <x:c r="D34" s="39" t="n">
        <x:f>IF($A34="","",Datenbasis!$E35)</x:f>
        <x:v>1.2</x:v>
      </x:c>
      <x:c r="E34" s="28" t="e">
        <x:f>IF($A34="","",Datenbasis!$K35)</x:f>
        <x:v>#VALUE!</x:v>
      </x:c>
      <x:c r="F34" s="1"/>
      <x:c r="G34" s="1"/>
      <x:c r="H34" s="1"/>
    </x:row>
    <x:row r="35" ht="54" customHeight="1">
      <x:c r="A35" s="38" t="n">
        <x:f>IF(AND(Datenbasis!$A36&gt;=Einstellungen!$B$4,Datenbasis!$A36&lt;DATE(YEAR(Einstellungen!$B$4),MONTH(Einstellungen!$B$4)+1,1)),Datenbasis!$A36,"")</x:f>
        <x:v>46200</x:v>
      </x:c>
      <x:c r="B35" s="28" t="str">
        <x:f>IF($A35="","",Datenbasis!$B36)</x:f>
        <x:v>Studie 2027</x:v>
      </x:c>
      <x:c r="C35" s="28" t="str">
        <x:f>IF($A35="","",Datenbasis!$C36&amp;": "&amp;Datenbasis!$D36)</x:f>
        <x:v>: Zusammenfassung Ergebnisse des Skripttest und Vorbereitung des nächsten Skripttests</x:v>
      </x:c>
      <x:c r="D35" s="39" t="n">
        <x:f>IF($A35="","",Datenbasis!$E36)</x:f>
        <x:v>1</x:v>
      </x:c>
      <x:c r="E35" s="28" t="e">
        <x:f>IF($A35="","",Datenbasis!$K36)</x:f>
        <x:v>#VALUE!</x:v>
      </x:c>
      <x:c r="F35" s="1"/>
      <x:c r="G35" s="1"/>
      <x:c r="H35" s="1"/>
    </x:row>
    <x:row r="36" ht="54" customHeight="1">
      <x:c r="A36" s="38" t="str">
        <x:f>IF(AND(Datenbasis!$A37&gt;=Einstellungen!$B$4,Datenbasis!$A37&lt;DATE(YEAR(Einstellungen!$B$4),MONTH(Einstellungen!$B$4)+1,1)),Datenbasis!$A37,"")</x:f>
      </x:c>
      <x:c r="B36" s="28" t="str">
        <x:f>IF($A36="","",Datenbasis!$B37)</x:f>
      </x:c>
      <x:c r="C36" s="28" t="str">
        <x:f>IF($A36="","",Datenbasis!$C37&amp;": "&amp;Datenbasis!$D37)</x:f>
      </x:c>
      <x:c r="D36" s="39" t="str">
        <x:f>IF($A36="","",Datenbasis!$E37)</x:f>
      </x:c>
      <x:c r="E36" s="28" t="str">
        <x:f>IF($A36="","",Datenbasis!$K37)</x:f>
      </x:c>
      <x:c r="F36" s="1"/>
      <x:c r="G36" s="1"/>
      <x:c r="H36" s="1"/>
    </x:row>
    <x:row r="37" ht="54" customHeight="1">
      <x:c r="A37" s="38" t="str">
        <x:f>IF(AND(Datenbasis!$A38&gt;=Einstellungen!$B$4,Datenbasis!$A38&lt;DATE(YEAR(Einstellungen!$B$4),MONTH(Einstellungen!$B$4)+1,1)),Datenbasis!$A38,"")</x:f>
      </x:c>
      <x:c r="B37" s="28" t="str">
        <x:f>IF($A37="","",Datenbasis!$B38)</x:f>
      </x:c>
      <x:c r="C37" s="28" t="str">
        <x:f>IF($A37="","",Datenbasis!$C38&amp;": "&amp;Datenbasis!$D38)</x:f>
      </x:c>
      <x:c r="D37" s="39" t="str">
        <x:f>IF($A37="","",Datenbasis!$E38)</x:f>
      </x:c>
      <x:c r="E37" s="28" t="str">
        <x:f>IF($A37="","",Datenbasis!$K38)</x:f>
      </x:c>
      <x:c r="F37" s="1"/>
      <x:c r="G37" s="1"/>
      <x:c r="H37" s="1"/>
    </x:row>
    <x:row r="38" ht="54" customHeight="1">
      <x:c r="A38" s="38" t="str">
        <x:f>IF(AND(Datenbasis!$A39&gt;=Einstellungen!$B$4,Datenbasis!$A39&lt;DATE(YEAR(Einstellungen!$B$4),MONTH(Einstellungen!$B$4)+1,1)),Datenbasis!$A39,"")</x:f>
      </x:c>
      <x:c r="B38" s="28" t="str">
        <x:f>IF($A38="","",Datenbasis!$B39)</x:f>
      </x:c>
      <x:c r="C38" s="28" t="str">
        <x:f>IF($A38="","",Datenbasis!$C39&amp;": "&amp;Datenbasis!$D39)</x:f>
      </x:c>
      <x:c r="D38" s="39" t="str">
        <x:f>IF($A38="","",Datenbasis!$E39)</x:f>
      </x:c>
      <x:c r="E38" s="28" t="str">
        <x:f>IF($A38="","",Datenbasis!$K39)</x:f>
      </x:c>
      <x:c r="F38" s="1"/>
      <x:c r="G38" s="1"/>
      <x:c r="H38" s="1"/>
    </x:row>
    <x:row r="39" ht="54" customHeight="1">
      <x:c r="A39" s="38" t="str">
        <x:f>IF(AND(Datenbasis!$A40&gt;=Einstellungen!$B$4,Datenbasis!$A40&lt;DATE(YEAR(Einstellungen!$B$4),MONTH(Einstellungen!$B$4)+1,1)),Datenbasis!$A40,"")</x:f>
      </x:c>
      <x:c r="B39" s="28" t="str">
        <x:f>IF($A39="","",Datenbasis!$B40)</x:f>
      </x:c>
      <x:c r="C39" s="28" t="str">
        <x:f>IF($A39="","",Datenbasis!$C40&amp;": "&amp;Datenbasis!$D40)</x:f>
      </x:c>
      <x:c r="D39" s="39" t="str">
        <x:f>IF($A39="","",Datenbasis!$E40)</x:f>
      </x:c>
      <x:c r="E39" s="28" t="str">
        <x:f>IF($A39="","",Datenbasis!$K40)</x:f>
      </x:c>
      <x:c r="F39" s="1"/>
      <x:c r="G39" s="1"/>
      <x:c r="H39" s="1"/>
    </x:row>
    <x:row r="40" ht="54" customHeight="1">
      <x:c r="A40" s="38" t="str">
        <x:f>IF(AND(Datenbasis!$A41&gt;=Einstellungen!$B$4,Datenbasis!$A41&lt;DATE(YEAR(Einstellungen!$B$4),MONTH(Einstellungen!$B$4)+1,1)),Datenbasis!$A41,"")</x:f>
      </x:c>
      <x:c r="B40" s="28" t="str">
        <x:f>IF($A40="","",Datenbasis!$B41)</x:f>
      </x:c>
      <x:c r="C40" s="28" t="str">
        <x:f>IF($A40="","",Datenbasis!$C41&amp;": "&amp;Datenbasis!$D41)</x:f>
      </x:c>
      <x:c r="D40" s="39" t="str">
        <x:f>IF($A40="","",Datenbasis!$E41)</x:f>
      </x:c>
      <x:c r="E40" s="28" t="str">
        <x:f>IF($A40="","",Datenbasis!$K41)</x:f>
      </x:c>
      <x:c r="F40" s="1"/>
      <x:c r="G40" s="1"/>
      <x:c r="H40" s="1"/>
    </x:row>
    <x:row r="41" ht="54" customHeight="1">
      <x:c r="A41" s="38" t="str">
        <x:f>IF(AND(Datenbasis!$A42&gt;=Einstellungen!$B$4,Datenbasis!$A42&lt;DATE(YEAR(Einstellungen!$B$4),MONTH(Einstellungen!$B$4)+1,1)),Datenbasis!$A42,"")</x:f>
      </x:c>
      <x:c r="B41" s="28" t="str">
        <x:f>IF($A41="","",Datenbasis!$B42)</x:f>
      </x:c>
      <x:c r="C41" s="28" t="str">
        <x:f>IF($A41="","",Datenbasis!$C42&amp;": "&amp;Datenbasis!$D42)</x:f>
      </x:c>
      <x:c r="D41" s="39" t="str">
        <x:f>IF($A41="","",Datenbasis!$E42)</x:f>
      </x:c>
      <x:c r="E41" s="28" t="str">
        <x:f>IF($A41="","",Datenbasis!$K42)</x:f>
      </x:c>
      <x:c r="F41" s="1"/>
      <x:c r="G41" s="1"/>
      <x:c r="H41" s="1"/>
    </x:row>
    <x:row r="42" ht="54" customHeight="1">
      <x:c r="A42" s="38" t="str">
        <x:f>IF(AND(Datenbasis!$A43&gt;=Einstellungen!$B$4,Datenbasis!$A43&lt;DATE(YEAR(Einstellungen!$B$4),MONTH(Einstellungen!$B$4)+1,1)),Datenbasis!$A43,"")</x:f>
      </x:c>
      <x:c r="B42" s="28" t="str">
        <x:f>IF($A42="","",Datenbasis!$B43)</x:f>
      </x:c>
      <x:c r="C42" s="28" t="str">
        <x:f>IF($A42="","",Datenbasis!$C43&amp;": "&amp;Datenbasis!$D43)</x:f>
      </x:c>
      <x:c r="D42" s="39" t="str">
        <x:f>IF($A42="","",Datenbasis!$E43)</x:f>
      </x:c>
      <x:c r="E42" s="28" t="str">
        <x:f>IF($A42="","",Datenbasis!$K43)</x:f>
      </x:c>
      <x:c r="F42" s="1"/>
      <x:c r="G42" s="1"/>
      <x:c r="H42" s="1"/>
    </x:row>
    <x:row r="43" ht="54" customHeight="1">
      <x:c r="A43" s="38" t="str">
        <x:f>IF(AND(Datenbasis!$A44&gt;=Einstellungen!$B$4,Datenbasis!$A44&lt;DATE(YEAR(Einstellungen!$B$4),MONTH(Einstellungen!$B$4)+1,1)),Datenbasis!$A44,"")</x:f>
      </x:c>
      <x:c r="B43" s="28" t="str">
        <x:f>IF($A43="","",Datenbasis!$B44)</x:f>
      </x:c>
      <x:c r="C43" s="28" t="str">
        <x:f>IF($A43="","",Datenbasis!$C44&amp;": "&amp;Datenbasis!$D44)</x:f>
      </x:c>
      <x:c r="D43" s="39" t="str">
        <x:f>IF($A43="","",Datenbasis!$E44)</x:f>
      </x:c>
      <x:c r="E43" s="28" t="str">
        <x:f>IF($A43="","",Datenbasis!$K44)</x:f>
      </x:c>
      <x:c r="F43" s="1"/>
      <x:c r="G43" s="1"/>
      <x:c r="H43" s="1"/>
    </x:row>
    <x:row r="44" ht="54" customHeight="1">
      <x:c r="A44" s="38" t="str">
        <x:f>IF(AND(Datenbasis!$A45&gt;=Einstellungen!$B$4,Datenbasis!$A45&lt;DATE(YEAR(Einstellungen!$B$4),MONTH(Einstellungen!$B$4)+1,1)),Datenbasis!$A45,"")</x:f>
      </x:c>
      <x:c r="B44" s="28" t="str">
        <x:f>IF($A44="","",Datenbasis!$B45)</x:f>
      </x:c>
      <x:c r="C44" s="28" t="str">
        <x:f>IF($A44="","",Datenbasis!$C45&amp;": "&amp;Datenbasis!$D45)</x:f>
      </x:c>
      <x:c r="D44" s="39" t="str">
        <x:f>IF($A44="","",Datenbasis!$E45)</x:f>
      </x:c>
      <x:c r="E44" s="28" t="str">
        <x:f>IF($A44="","",Datenbasis!$K45)</x:f>
      </x:c>
      <x:c r="F44" s="1"/>
      <x:c r="G44" s="1"/>
      <x:c r="H44" s="1"/>
    </x:row>
    <x:row r="45" ht="54" customHeight="1">
      <x:c r="A45" s="38" t="str">
        <x:f>IF(AND(Datenbasis!$A46&gt;=Einstellungen!$B$4,Datenbasis!$A46&lt;DATE(YEAR(Einstellungen!$B$4),MONTH(Einstellungen!$B$4)+1,1)),Datenbasis!$A46,"")</x:f>
      </x:c>
      <x:c r="B45" s="28" t="str">
        <x:f>IF($A45="","",Datenbasis!$B46)</x:f>
      </x:c>
      <x:c r="C45" s="28" t="str">
        <x:f>IF($A45="","",Datenbasis!$C46&amp;": "&amp;Datenbasis!$D46)</x:f>
      </x:c>
      <x:c r="D45" s="39" t="str">
        <x:f>IF($A45="","",Datenbasis!$E46)</x:f>
      </x:c>
      <x:c r="E45" s="28" t="str">
        <x:f>IF($A45="","",Datenbasis!$K46)</x:f>
      </x:c>
      <x:c r="F45" s="1"/>
      <x:c r="G45" s="1"/>
      <x:c r="H45" s="1"/>
    </x:row>
    <x:row r="46" ht="54" customHeight="1">
      <x:c r="A46" s="38" t="str">
        <x:f>IF(AND(Datenbasis!$A47&gt;=Einstellungen!$B$4,Datenbasis!$A47&lt;DATE(YEAR(Einstellungen!$B$4),MONTH(Einstellungen!$B$4)+1,1)),Datenbasis!$A47,"")</x:f>
      </x:c>
      <x:c r="B46" s="28" t="str">
        <x:f>IF($A46="","",Datenbasis!$B47)</x:f>
      </x:c>
      <x:c r="C46" s="28" t="str">
        <x:f>IF($A46="","",Datenbasis!$C47&amp;": "&amp;Datenbasis!$D47)</x:f>
      </x:c>
      <x:c r="D46" s="39" t="str">
        <x:f>IF($A46="","",Datenbasis!$E47)</x:f>
      </x:c>
      <x:c r="E46" s="28" t="str">
        <x:f>IF($A46="","",Datenbasis!$K47)</x:f>
      </x:c>
      <x:c r="F46" s="1"/>
      <x:c r="G46" s="1"/>
      <x:c r="H46" s="1"/>
    </x:row>
    <x:row r="47" ht="54" customHeight="1">
      <x:c r="A47" s="38" t="str">
        <x:f>IF(AND(Datenbasis!$A48&gt;=Einstellungen!$B$4,Datenbasis!$A48&lt;DATE(YEAR(Einstellungen!$B$4),MONTH(Einstellungen!$B$4)+1,1)),Datenbasis!$A48,"")</x:f>
      </x:c>
      <x:c r="B47" s="28" t="str">
        <x:f>IF($A47="","",Datenbasis!$B48)</x:f>
      </x:c>
      <x:c r="C47" s="28" t="str">
        <x:f>IF($A47="","",Datenbasis!$C48&amp;": "&amp;Datenbasis!$D48)</x:f>
      </x:c>
      <x:c r="D47" s="39" t="str">
        <x:f>IF($A47="","",Datenbasis!$E48)</x:f>
      </x:c>
      <x:c r="E47" s="28" t="str">
        <x:f>IF($A47="","",Datenbasis!$K48)</x:f>
      </x:c>
      <x:c r="F47" s="1"/>
      <x:c r="G47" s="1"/>
      <x:c r="H47" s="1"/>
    </x:row>
    <x:row r="48" ht="54" customHeight="1">
      <x:c r="A48" s="38" t="str">
        <x:f>IF(AND(Datenbasis!$A49&gt;=Einstellungen!$B$4,Datenbasis!$A49&lt;DATE(YEAR(Einstellungen!$B$4),MONTH(Einstellungen!$B$4)+1,1)),Datenbasis!$A49,"")</x:f>
      </x:c>
      <x:c r="B48" s="28" t="str">
        <x:f>IF($A48="","",Datenbasis!$B49)</x:f>
      </x:c>
      <x:c r="C48" s="28" t="str">
        <x:f>IF($A48="","",Datenbasis!$C49&amp;": "&amp;Datenbasis!$D49)</x:f>
      </x:c>
      <x:c r="D48" s="39" t="str">
        <x:f>IF($A48="","",Datenbasis!$E49)</x:f>
      </x:c>
      <x:c r="E48" s="28" t="str">
        <x:f>IF($A48="","",Datenbasis!$K49)</x:f>
      </x:c>
      <x:c r="F48" s="1"/>
      <x:c r="G48" s="1"/>
      <x:c r="H48" s="1"/>
    </x:row>
    <x:row r="49" ht="54" customHeight="1">
      <x:c r="A49" s="38" t="str">
        <x:f>IF(AND(Datenbasis!$A50&gt;=Einstellungen!$B$4,Datenbasis!$A50&lt;DATE(YEAR(Einstellungen!$B$4),MONTH(Einstellungen!$B$4)+1,1)),Datenbasis!$A50,"")</x:f>
      </x:c>
      <x:c r="B49" s="28" t="str">
        <x:f>IF($A49="","",Datenbasis!$B50)</x:f>
      </x:c>
      <x:c r="C49" s="28" t="str">
        <x:f>IF($A49="","",Datenbasis!$C50&amp;": "&amp;Datenbasis!$D50)</x:f>
      </x:c>
      <x:c r="D49" s="39" t="str">
        <x:f>IF($A49="","",Datenbasis!$E50)</x:f>
      </x:c>
      <x:c r="E49" s="28" t="str">
        <x:f>IF($A49="","",Datenbasis!$K50)</x:f>
      </x:c>
      <x:c r="F49" s="1"/>
      <x:c r="G49" s="1"/>
      <x:c r="H49" s="1"/>
    </x:row>
    <x:row r="50" ht="54" customHeight="1">
      <x:c r="A50" s="38" t="str">
        <x:f>IF(AND(Datenbasis!$A51&gt;=Einstellungen!$B$4,Datenbasis!$A51&lt;DATE(YEAR(Einstellungen!$B$4),MONTH(Einstellungen!$B$4)+1,1)),Datenbasis!$A51,"")</x:f>
      </x:c>
      <x:c r="B50" s="28" t="str">
        <x:f>IF($A50="","",Datenbasis!$B51)</x:f>
      </x:c>
      <x:c r="C50" s="28" t="str">
        <x:f>IF($A50="","",Datenbasis!$C51&amp;": "&amp;Datenbasis!$D51)</x:f>
      </x:c>
      <x:c r="D50" s="39" t="str">
        <x:f>IF($A50="","",Datenbasis!$E51)</x:f>
      </x:c>
      <x:c r="E50" s="28" t="str">
        <x:f>IF($A50="","",Datenbasis!$K51)</x:f>
      </x:c>
      <x:c r="F50" s="1"/>
      <x:c r="G50" s="1"/>
      <x:c r="H50" s="1"/>
    </x:row>
    <x:row r="51" ht="54" customHeight="1">
      <x:c r="A51" s="38" t="str">
        <x:f>IF(AND(Datenbasis!$A52&gt;=Einstellungen!$B$4,Datenbasis!$A52&lt;DATE(YEAR(Einstellungen!$B$4),MONTH(Einstellungen!$B$4)+1,1)),Datenbasis!$A52,"")</x:f>
      </x:c>
      <x:c r="B51" s="28" t="str">
        <x:f>IF($A51="","",Datenbasis!$B52)</x:f>
      </x:c>
      <x:c r="C51" s="28" t="str">
        <x:f>IF($A51="","",Datenbasis!$C52&amp;": "&amp;Datenbasis!$D52)</x:f>
      </x:c>
      <x:c r="D51" s="39" t="str">
        <x:f>IF($A51="","",Datenbasis!$E52)</x:f>
      </x:c>
      <x:c r="E51" s="28" t="str">
        <x:f>IF($A51="","",Datenbasis!$K52)</x:f>
      </x:c>
      <x:c r="F51" s="1"/>
      <x:c r="G51" s="1"/>
      <x:c r="H51" s="1"/>
    </x:row>
    <x:row r="52" ht="54" customHeight="1">
      <x:c r="A52" s="38" t="str">
        <x:f>IF(AND(Datenbasis!$A53&gt;=Einstellungen!$B$4,Datenbasis!$A53&lt;DATE(YEAR(Einstellungen!$B$4),MONTH(Einstellungen!$B$4)+1,1)),Datenbasis!$A53,"")</x:f>
      </x:c>
      <x:c r="B52" s="28" t="str">
        <x:f>IF($A52="","",Datenbasis!$B53)</x:f>
      </x:c>
      <x:c r="C52" s="28" t="str">
        <x:f>IF($A52="","",Datenbasis!$C53&amp;": "&amp;Datenbasis!$D53)</x:f>
      </x:c>
      <x:c r="D52" s="39" t="str">
        <x:f>IF($A52="","",Datenbasis!$E53)</x:f>
      </x:c>
      <x:c r="E52" s="28" t="str">
        <x:f>IF($A52="","",Datenbasis!$K53)</x:f>
      </x:c>
      <x:c r="F52" s="1"/>
      <x:c r="G52" s="1"/>
      <x:c r="H52" s="1"/>
    </x:row>
    <x:row r="53" ht="54" customHeight="1">
      <x:c r="A53" s="38" t="str">
        <x:f>IF(AND(Datenbasis!$A54&gt;=Einstellungen!$B$4,Datenbasis!$A54&lt;DATE(YEAR(Einstellungen!$B$4),MONTH(Einstellungen!$B$4)+1,1)),Datenbasis!$A54,"")</x:f>
      </x:c>
      <x:c r="B53" s="28" t="str">
        <x:f>IF($A53="","",Datenbasis!$B54)</x:f>
      </x:c>
      <x:c r="C53" s="28" t="str">
        <x:f>IF($A53="","",Datenbasis!$C54&amp;": "&amp;Datenbasis!$D54)</x:f>
      </x:c>
      <x:c r="D53" s="39" t="str">
        <x:f>IF($A53="","",Datenbasis!$E54)</x:f>
      </x:c>
      <x:c r="E53" s="28" t="str">
        <x:f>IF($A53="","",Datenbasis!$K54)</x:f>
      </x:c>
      <x:c r="F53" s="1"/>
      <x:c r="G53" s="1"/>
      <x:c r="H53" s="1"/>
    </x:row>
    <x:row r="54" ht="54" customHeight="1">
      <x:c r="A54" s="38" t="str">
        <x:f>IF(AND(Datenbasis!$A55&gt;=Einstellungen!$B$4,Datenbasis!$A55&lt;DATE(YEAR(Einstellungen!$B$4),MONTH(Einstellungen!$B$4)+1,1)),Datenbasis!$A55,"")</x:f>
      </x:c>
      <x:c r="B54" s="28" t="str">
        <x:f>IF($A54="","",Datenbasis!$B55)</x:f>
      </x:c>
      <x:c r="C54" s="28" t="str">
        <x:f>IF($A54="","",Datenbasis!$C55&amp;": "&amp;Datenbasis!$D55)</x:f>
      </x:c>
      <x:c r="D54" s="39" t="str">
        <x:f>IF($A54="","",Datenbasis!$E55)</x:f>
      </x:c>
      <x:c r="E54" s="28" t="str">
        <x:f>IF($A54="","",Datenbasis!$K55)</x:f>
      </x:c>
      <x:c r="F54" s="1"/>
      <x:c r="G54" s="1"/>
      <x:c r="H54" s="1"/>
    </x:row>
    <x:row r="55" ht="54" customHeight="1">
      <x:c r="A55" s="38" t="str">
        <x:f>IF(AND(Datenbasis!$A56&gt;=Einstellungen!$B$4,Datenbasis!$A56&lt;DATE(YEAR(Einstellungen!$B$4),MONTH(Einstellungen!$B$4)+1,1)),Datenbasis!$A56,"")</x:f>
      </x:c>
      <x:c r="B55" s="28" t="str">
        <x:f>IF($A55="","",Datenbasis!$B56)</x:f>
      </x:c>
      <x:c r="C55" s="28" t="str">
        <x:f>IF($A55="","",Datenbasis!$C56&amp;": "&amp;Datenbasis!$D56)</x:f>
      </x:c>
      <x:c r="D55" s="39" t="str">
        <x:f>IF($A55="","",Datenbasis!$E56)</x:f>
      </x:c>
      <x:c r="E55" s="28" t="str">
        <x:f>IF($A55="","",Datenbasis!$K56)</x:f>
      </x:c>
      <x:c r="F55" s="1"/>
      <x:c r="G55" s="1"/>
      <x:c r="H55" s="1"/>
    </x:row>
    <x:row r="56" ht="54" customHeight="1">
      <x:c r="A56" s="38" t="str">
        <x:f>IF(AND(Datenbasis!$A57&gt;=Einstellungen!$B$4,Datenbasis!$A57&lt;DATE(YEAR(Einstellungen!$B$4),MONTH(Einstellungen!$B$4)+1,1)),Datenbasis!$A57,"")</x:f>
      </x:c>
      <x:c r="B56" s="28" t="str">
        <x:f>IF($A56="","",Datenbasis!$B57)</x:f>
      </x:c>
      <x:c r="C56" s="28" t="str">
        <x:f>IF($A56="","",Datenbasis!$C57&amp;": "&amp;Datenbasis!$D57)</x:f>
      </x:c>
      <x:c r="D56" s="39" t="str">
        <x:f>IF($A56="","",Datenbasis!$E57)</x:f>
      </x:c>
      <x:c r="E56" s="28" t="str">
        <x:f>IF($A56="","",Datenbasis!$K57)</x:f>
      </x:c>
      <x:c r="F56" s="1"/>
      <x:c r="G56" s="1"/>
      <x:c r="H56" s="1"/>
    </x:row>
    <x:row r="57" ht="54" customHeight="1">
      <x:c r="A57" s="38" t="str">
        <x:f>IF(AND(Datenbasis!$A58&gt;=Einstellungen!$B$4,Datenbasis!$A58&lt;DATE(YEAR(Einstellungen!$B$4),MONTH(Einstellungen!$B$4)+1,1)),Datenbasis!$A58,"")</x:f>
      </x:c>
      <x:c r="B57" s="28" t="str">
        <x:f>IF($A57="","",Datenbasis!$B58)</x:f>
      </x:c>
      <x:c r="C57" s="28" t="str">
        <x:f>IF($A57="","",Datenbasis!$C58&amp;": "&amp;Datenbasis!$D58)</x:f>
      </x:c>
      <x:c r="D57" s="39" t="str">
        <x:f>IF($A57="","",Datenbasis!$E58)</x:f>
      </x:c>
      <x:c r="E57" s="28" t="str">
        <x:f>IF($A57="","",Datenbasis!$K58)</x:f>
      </x:c>
      <x:c r="F57" s="1"/>
      <x:c r="G57" s="1"/>
      <x:c r="H57" s="1"/>
    </x:row>
    <x:row r="58" ht="54" customHeight="1">
      <x:c r="A58" s="38" t="str">
        <x:f>IF(AND(Datenbasis!$A59&gt;=Einstellungen!$B$4,Datenbasis!$A59&lt;DATE(YEAR(Einstellungen!$B$4),MONTH(Einstellungen!$B$4)+1,1)),Datenbasis!$A59,"")</x:f>
      </x:c>
      <x:c r="B58" s="28" t="str">
        <x:f>IF($A58="","",Datenbasis!$B59)</x:f>
      </x:c>
      <x:c r="C58" s="28" t="str">
        <x:f>IF($A58="","",Datenbasis!$C59&amp;": "&amp;Datenbasis!$D59)</x:f>
      </x:c>
      <x:c r="D58" s="39" t="str">
        <x:f>IF($A58="","",Datenbasis!$E59)</x:f>
      </x:c>
      <x:c r="E58" s="28" t="str">
        <x:f>IF($A58="","",Datenbasis!$K59)</x:f>
      </x:c>
      <x:c r="F58" s="1"/>
      <x:c r="G58" s="1"/>
      <x:c r="H58" s="1"/>
    </x:row>
    <x:row r="59" ht="54" customHeight="1">
      <x:c r="A59" s="38" t="str">
        <x:f>IF(AND(Datenbasis!$A60&gt;=Einstellungen!$B$4,Datenbasis!$A60&lt;DATE(YEAR(Einstellungen!$B$4),MONTH(Einstellungen!$B$4)+1,1)),Datenbasis!$A60,"")</x:f>
      </x:c>
      <x:c r="B59" s="28" t="str">
        <x:f>IF($A59="","",Datenbasis!$B60)</x:f>
      </x:c>
      <x:c r="C59" s="28" t="str">
        <x:f>IF($A59="","",Datenbasis!$C60&amp;": "&amp;Datenbasis!$D60)</x:f>
      </x:c>
      <x:c r="D59" s="39" t="str">
        <x:f>IF($A59="","",Datenbasis!$E60)</x:f>
      </x:c>
      <x:c r="E59" s="28" t="str">
        <x:f>IF($A59="","",Datenbasis!$K60)</x:f>
      </x:c>
      <x:c r="F59" s="1"/>
      <x:c r="G59" s="1"/>
      <x:c r="H59" s="1"/>
    </x:row>
    <x:row r="60" ht="54" customHeight="1">
      <x:c r="A60" s="38" t="str">
        <x:f>IF(AND(Datenbasis!$A61&gt;=Einstellungen!$B$4,Datenbasis!$A61&lt;DATE(YEAR(Einstellungen!$B$4),MONTH(Einstellungen!$B$4)+1,1)),Datenbasis!$A61,"")</x:f>
      </x:c>
      <x:c r="B60" s="28" t="str">
        <x:f>IF($A60="","",Datenbasis!$B61)</x:f>
      </x:c>
      <x:c r="C60" s="28" t="str">
        <x:f>IF($A60="","",Datenbasis!$C61&amp;": "&amp;Datenbasis!$D61)</x:f>
      </x:c>
      <x:c r="D60" s="39" t="str">
        <x:f>IF($A60="","",Datenbasis!$E61)</x:f>
      </x:c>
      <x:c r="E60" s="28" t="str">
        <x:f>IF($A60="","",Datenbasis!$K61)</x:f>
      </x:c>
      <x:c r="F60" s="1"/>
      <x:c r="G60" s="1"/>
      <x:c r="H60" s="1"/>
    </x:row>
    <x:row r="61" ht="54" customHeight="1">
      <x:c r="A61" s="38" t="str">
        <x:f>IF(AND(Datenbasis!$A62&gt;=Einstellungen!$B$4,Datenbasis!$A62&lt;DATE(YEAR(Einstellungen!$B$4),MONTH(Einstellungen!$B$4)+1,1)),Datenbasis!$A62,"")</x:f>
      </x:c>
      <x:c r="B61" s="28" t="str">
        <x:f>IF($A61="","",Datenbasis!$B62)</x:f>
      </x:c>
      <x:c r="C61" s="28" t="str">
        <x:f>IF($A61="","",Datenbasis!$C62&amp;": "&amp;Datenbasis!$D62)</x:f>
      </x:c>
      <x:c r="D61" s="39" t="str">
        <x:f>IF($A61="","",Datenbasis!$E62)</x:f>
      </x:c>
      <x:c r="E61" s="28" t="str">
        <x:f>IF($A61="","",Datenbasis!$K62)</x:f>
      </x:c>
      <x:c r="F61" s="1"/>
      <x:c r="G61" s="1"/>
      <x:c r="H61" s="1"/>
    </x:row>
    <x:row r="62" ht="54" customHeight="1">
      <x:c r="A62" s="38" t="str">
        <x:f>IF(AND(Datenbasis!$A63&gt;=Einstellungen!$B$4,Datenbasis!$A63&lt;DATE(YEAR(Einstellungen!$B$4),MONTH(Einstellungen!$B$4)+1,1)),Datenbasis!$A63,"")</x:f>
      </x:c>
      <x:c r="B62" s="28" t="str">
        <x:f>IF($A62="","",Datenbasis!$B63)</x:f>
      </x:c>
      <x:c r="C62" s="28" t="str">
        <x:f>IF($A62="","",Datenbasis!$C63&amp;": "&amp;Datenbasis!$D63)</x:f>
      </x:c>
      <x:c r="D62" s="39" t="str">
        <x:f>IF($A62="","",Datenbasis!$E63)</x:f>
      </x:c>
      <x:c r="E62" s="28" t="str">
        <x:f>IF($A62="","",Datenbasis!$K63)</x:f>
      </x:c>
      <x:c r="F62" s="1"/>
      <x:c r="G62" s="1"/>
      <x:c r="H62" s="1"/>
    </x:row>
    <x:row r="63" ht="54" customHeight="1">
      <x:c r="A63" s="38" t="str">
        <x:f>IF(AND(Datenbasis!$A64&gt;=Einstellungen!$B$4,Datenbasis!$A64&lt;DATE(YEAR(Einstellungen!$B$4),MONTH(Einstellungen!$B$4)+1,1)),Datenbasis!$A64,"")</x:f>
      </x:c>
      <x:c r="B63" s="28" t="str">
        <x:f>IF($A63="","",Datenbasis!$B64)</x:f>
      </x:c>
      <x:c r="C63" s="28" t="str">
        <x:f>IF($A63="","",Datenbasis!$C64&amp;": "&amp;Datenbasis!$D64)</x:f>
      </x:c>
      <x:c r="D63" s="39" t="str">
        <x:f>IF($A63="","",Datenbasis!$E64)</x:f>
      </x:c>
      <x:c r="E63" s="28" t="str">
        <x:f>IF($A63="","",Datenbasis!$K64)</x:f>
      </x:c>
      <x:c r="F63" s="1"/>
      <x:c r="G63" s="1"/>
      <x:c r="H63" s="1"/>
    </x:row>
    <x:row r="64" ht="54" customHeight="1">
      <x:c r="A64" s="38" t="str">
        <x:f>IF(AND(Datenbasis!$A65&gt;=Einstellungen!$B$4,Datenbasis!$A65&lt;DATE(YEAR(Einstellungen!$B$4),MONTH(Einstellungen!$B$4)+1,1)),Datenbasis!$A65,"")</x:f>
      </x:c>
      <x:c r="B64" s="28" t="str">
        <x:f>IF($A64="","",Datenbasis!$B65)</x:f>
      </x:c>
      <x:c r="C64" s="28" t="str">
        <x:f>IF($A64="","",Datenbasis!$C65&amp;": "&amp;Datenbasis!$D65)</x:f>
      </x:c>
      <x:c r="D64" s="39" t="str">
        <x:f>IF($A64="","",Datenbasis!$E65)</x:f>
      </x:c>
      <x:c r="E64" s="28" t="str">
        <x:f>IF($A64="","",Datenbasis!$K65)</x:f>
      </x:c>
      <x:c r="F64" s="1"/>
      <x:c r="G64" s="1"/>
      <x:c r="H64" s="1"/>
    </x:row>
    <x:row r="65" ht="54" customHeight="1">
      <x:c r="A65" s="38" t="str">
        <x:f>IF(AND(Datenbasis!$A66&gt;=Einstellungen!$B$4,Datenbasis!$A66&lt;DATE(YEAR(Einstellungen!$B$4),MONTH(Einstellungen!$B$4)+1,1)),Datenbasis!$A66,"")</x:f>
      </x:c>
      <x:c r="B65" s="28" t="str">
        <x:f>IF($A65="","",Datenbasis!$B66)</x:f>
      </x:c>
      <x:c r="C65" s="28" t="str">
        <x:f>IF($A65="","",Datenbasis!$C66&amp;": "&amp;Datenbasis!$D66)</x:f>
      </x:c>
      <x:c r="D65" s="39" t="str">
        <x:f>IF($A65="","",Datenbasis!$E66)</x:f>
      </x:c>
      <x:c r="E65" s="28" t="str">
        <x:f>IF($A65="","",Datenbasis!$K66)</x:f>
      </x:c>
      <x:c r="F65" s="1"/>
      <x:c r="G65" s="1"/>
      <x:c r="H65" s="1"/>
    </x:row>
    <x:row r="66" ht="54" customHeight="1">
      <x:c r="A66" s="38" t="str">
        <x:f>IF(AND(Datenbasis!$A67&gt;=Einstellungen!$B$4,Datenbasis!$A67&lt;DATE(YEAR(Einstellungen!$B$4),MONTH(Einstellungen!$B$4)+1,1)),Datenbasis!$A67,"")</x:f>
      </x:c>
      <x:c r="B66" s="28" t="str">
        <x:f>IF($A66="","",Datenbasis!$B67)</x:f>
      </x:c>
      <x:c r="C66" s="28" t="str">
        <x:f>IF($A66="","",Datenbasis!$C67&amp;": "&amp;Datenbasis!$D67)</x:f>
      </x:c>
      <x:c r="D66" s="39" t="str">
        <x:f>IF($A66="","",Datenbasis!$E67)</x:f>
      </x:c>
      <x:c r="E66" s="28" t="str">
        <x:f>IF($A66="","",Datenbasis!$K67)</x:f>
      </x:c>
      <x:c r="F66" s="1"/>
      <x:c r="G66" s="1"/>
      <x:c r="H66" s="1"/>
    </x:row>
    <x:row r="67" ht="54" customHeight="1">
      <x:c r="A67" s="38" t="str">
        <x:f>IF(AND(Datenbasis!$A68&gt;=Einstellungen!$B$4,Datenbasis!$A68&lt;DATE(YEAR(Einstellungen!$B$4),MONTH(Einstellungen!$B$4)+1,1)),Datenbasis!$A68,"")</x:f>
      </x:c>
      <x:c r="B67" s="28" t="str">
        <x:f>IF($A67="","",Datenbasis!$B68)</x:f>
      </x:c>
      <x:c r="C67" s="28" t="str">
        <x:f>IF($A67="","",Datenbasis!$C68&amp;": "&amp;Datenbasis!$D68)</x:f>
      </x:c>
      <x:c r="D67" s="39" t="str">
        <x:f>IF($A67="","",Datenbasis!$E68)</x:f>
      </x:c>
      <x:c r="E67" s="28" t="str">
        <x:f>IF($A67="","",Datenbasis!$K68)</x:f>
      </x:c>
      <x:c r="F67" s="1"/>
      <x:c r="G67" s="1"/>
      <x:c r="H67" s="1"/>
    </x:row>
    <x:row r="68" ht="54" customHeight="1">
      <x:c r="A68" s="38" t="str">
        <x:f>IF(AND(Datenbasis!$A69&gt;=Einstellungen!$B$4,Datenbasis!$A69&lt;DATE(YEAR(Einstellungen!$B$4),MONTH(Einstellungen!$B$4)+1,1)),Datenbasis!$A69,"")</x:f>
      </x:c>
      <x:c r="B68" s="28" t="str">
        <x:f>IF($A68="","",Datenbasis!$B69)</x:f>
      </x:c>
      <x:c r="C68" s="28" t="str">
        <x:f>IF($A68="","",Datenbasis!$C69&amp;": "&amp;Datenbasis!$D69)</x:f>
      </x:c>
      <x:c r="D68" s="39" t="str">
        <x:f>IF($A68="","",Datenbasis!$E69)</x:f>
      </x:c>
      <x:c r="E68" s="28" t="str">
        <x:f>IF($A68="","",Datenbasis!$K69)</x:f>
      </x:c>
      <x:c r="F68" s="1"/>
      <x:c r="G68" s="1"/>
      <x:c r="H68" s="1"/>
    </x:row>
    <x:row r="69" ht="54" customHeight="1">
      <x:c r="A69" s="38" t="str">
        <x:f>IF(AND(Datenbasis!$A70&gt;=Einstellungen!$B$4,Datenbasis!$A70&lt;DATE(YEAR(Einstellungen!$B$4),MONTH(Einstellungen!$B$4)+1,1)),Datenbasis!$A70,"")</x:f>
      </x:c>
      <x:c r="B69" s="28" t="str">
        <x:f>IF($A69="","",Datenbasis!$B70)</x:f>
      </x:c>
      <x:c r="C69" s="28" t="str">
        <x:f>IF($A69="","",Datenbasis!$C70&amp;": "&amp;Datenbasis!$D70)</x:f>
      </x:c>
      <x:c r="D69" s="39" t="str">
        <x:f>IF($A69="","",Datenbasis!$E70)</x:f>
      </x:c>
      <x:c r="E69" s="28" t="str">
        <x:f>IF($A69="","",Datenbasis!$K70)</x:f>
      </x:c>
      <x:c r="F69" s="1"/>
      <x:c r="G69" s="1"/>
      <x:c r="H69" s="1"/>
    </x:row>
    <x:row r="70" ht="54" customHeight="1">
      <x:c r="A70" s="38" t="str">
        <x:f>IF(AND(Datenbasis!$A71&gt;=Einstellungen!$B$4,Datenbasis!$A71&lt;DATE(YEAR(Einstellungen!$B$4),MONTH(Einstellungen!$B$4)+1,1)),Datenbasis!$A71,"")</x:f>
      </x:c>
      <x:c r="B70" s="28" t="str">
        <x:f>IF($A70="","",Datenbasis!$B71)</x:f>
      </x:c>
      <x:c r="C70" s="28" t="str">
        <x:f>IF($A70="","",Datenbasis!$C71&amp;": "&amp;Datenbasis!$D71)</x:f>
      </x:c>
      <x:c r="D70" s="39" t="str">
        <x:f>IF($A70="","",Datenbasis!$E71)</x:f>
      </x:c>
      <x:c r="E70" s="28" t="str">
        <x:f>IF($A70="","",Datenbasis!$K71)</x:f>
      </x:c>
      <x:c r="F70" s="1"/>
      <x:c r="G70" s="1"/>
      <x:c r="H70" s="1"/>
    </x:row>
    <x:row r="71" ht="54" customHeight="1">
      <x:c r="A71" s="38" t="str">
        <x:f>IF(AND(Datenbasis!$A72&gt;=Einstellungen!$B$4,Datenbasis!$A72&lt;DATE(YEAR(Einstellungen!$B$4),MONTH(Einstellungen!$B$4)+1,1)),Datenbasis!$A72,"")</x:f>
      </x:c>
      <x:c r="B71" s="28" t="str">
        <x:f>IF($A71="","",Datenbasis!$B72)</x:f>
      </x:c>
      <x:c r="C71" s="28" t="str">
        <x:f>IF($A71="","",Datenbasis!$C72&amp;": "&amp;Datenbasis!$D72)</x:f>
      </x:c>
      <x:c r="D71" s="39" t="str">
        <x:f>IF($A71="","",Datenbasis!$E72)</x:f>
      </x:c>
      <x:c r="E71" s="28" t="str">
        <x:f>IF($A71="","",Datenbasis!$K72)</x:f>
      </x:c>
      <x:c r="F71" s="1"/>
      <x:c r="G71" s="1"/>
      <x:c r="H71" s="1"/>
    </x:row>
    <x:row r="72" ht="15">
      <x:c r="A72" s="1"/>
      <x:c r="B72" s="1"/>
      <x:c r="C72" s="1"/>
      <x:c r="D72" s="1"/>
      <x:c r="E72" s="1"/>
      <x:c r="F72" s="1"/>
      <x:c r="G72" s="1"/>
      <x:c r="H72" s="1"/>
    </x:row>
    <x:row r="73" ht="15">
      <x:c r="A73" s="63" t="s">
        <x:v>86</x:v>
      </x:c>
      <x:c r="B73" s="64"/>
      <x:c r="C73" s="64"/>
      <x:c r="D73" s="64"/>
      <x:c r="E73" s="64"/>
      <x:c r="F73" s="65"/>
      <x:c r="G73" s="1"/>
      <x:c r="H73" s="1"/>
    </x:row>
    <x:row r="74" ht="15">
      <x:c r="A74" s="66" t="s">
        <x:v>87</x:v>
      </x:c>
      <x:c r="B74" s="67"/>
      <x:c r="C74" s="67"/>
      <x:c r="D74" s="67"/>
      <x:c r="E74" s="67"/>
      <x:c r="F74" s="68"/>
      <x:c r="G74" s="1"/>
      <x:c r="H74" s="1"/>
    </x:row>
    <x:row r="75" ht="15">
      <x:c r="A75" s="51" t="s">
        <x:v>88</x:v>
      </x:c>
      <x:c r="B75" s="52"/>
      <x:c r="C75" s="52"/>
      <x:c r="D75" s="52"/>
      <x:c r="E75" s="52"/>
      <x:c r="F75" s="53"/>
      <x:c r="G75" s="1"/>
      <x:c r="H75" s="1"/>
    </x:row>
  </x:sheetData>
  <x:mergeCells>
    <x:mergeCell ref="A75:F75"/>
    <x:mergeCell ref="A1:F1"/>
    <x:mergeCell ref="A2:H2"/>
    <x:mergeCell ref="B6:F8"/>
    <x:mergeCell ref="A73:F73"/>
    <x:mergeCell ref="A74:F74"/>
  </x:mergeCells>
  <x:pageMargins left="0.7" right="0.7" top="0.75" bottom="0.75" header="0.3" footer="0.3"/>
</x:worksheet>
</file>