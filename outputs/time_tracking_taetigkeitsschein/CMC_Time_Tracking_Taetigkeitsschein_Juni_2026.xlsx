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riaake/Documents/CMC/outputs/time_tracking_taetigkeitsschein/"/>
    </mc:Choice>
  </mc:AlternateContent>
  <xr:revisionPtr revIDLastSave="0" documentId="13_ncr:1_{E02D864B-ABC8-C34B-8B54-DABEAB8BB5FE}" xr6:coauthVersionLast="47" xr6:coauthVersionMax="47" xr10:uidLastSave="{00000000-0000-0000-0000-000000000000}"/>
  <bookViews>
    <workbookView xWindow="8880" yWindow="1800" windowWidth="29400" windowHeight="16660" activeTab="3" xr2:uid="{00000000-000D-0000-FFFF-FFFF00000000}"/>
  </bookViews>
  <sheets>
    <sheet name="Zeiterfassung" sheetId="1" r:id="rId1"/>
    <sheet name="Budgetübersicht" sheetId="2" r:id="rId2"/>
    <sheet name="Einstellungen" sheetId="3" r:id="rId3"/>
    <sheet name="Datenbasis" sheetId="4" r:id="rId4"/>
    <sheet name="Auswertung" sheetId="5" r:id="rId5"/>
    <sheet name="Monatstätigkeitsschein" sheetId="6" r:id="rId6"/>
  </sheets>
  <definedNames>
    <definedName name="_xlnm.Print_Area" localSheetId="0">Zeiterfassung!$A$1:$C$20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D4" i="6"/>
  <c r="E9" i="5"/>
  <c r="E8" i="5"/>
  <c r="E7" i="5"/>
  <c r="E6" i="5"/>
  <c r="E5" i="5"/>
  <c r="F5" i="3"/>
  <c r="A5" i="4" s="1"/>
  <c r="E19" i="2"/>
  <c r="F19" i="2" s="1"/>
  <c r="A19" i="2"/>
  <c r="D19" i="2" s="1"/>
  <c r="E18" i="2"/>
  <c r="F18" i="2" s="1"/>
  <c r="A18" i="2"/>
  <c r="D18" i="2" s="1"/>
  <c r="E17" i="2"/>
  <c r="F17" i="2" s="1"/>
  <c r="A17" i="2"/>
  <c r="C17" i="2" s="1"/>
  <c r="E16" i="2"/>
  <c r="F16" i="2" s="1"/>
  <c r="A16" i="2"/>
  <c r="C16" i="2" s="1"/>
  <c r="G16" i="2" s="1"/>
  <c r="E15" i="2"/>
  <c r="F15" i="2" s="1"/>
  <c r="A15" i="2"/>
  <c r="B15" i="2" s="1"/>
  <c r="E14" i="2"/>
  <c r="F14" i="2" s="1"/>
  <c r="A14" i="2"/>
  <c r="B14" i="2" s="1"/>
  <c r="E13" i="2"/>
  <c r="F13" i="2" s="1"/>
  <c r="A13" i="2"/>
  <c r="B13" i="2" s="1"/>
  <c r="E12" i="2"/>
  <c r="F12" i="2" s="1"/>
  <c r="A12" i="2"/>
  <c r="D12" i="2" s="1"/>
  <c r="E11" i="2"/>
  <c r="F11" i="2" s="1"/>
  <c r="A11" i="2"/>
  <c r="D11" i="2" s="1"/>
  <c r="E10" i="2"/>
  <c r="F10" i="2" s="1"/>
  <c r="A10" i="2"/>
  <c r="C10" i="2" s="1"/>
  <c r="E9" i="2"/>
  <c r="F9" i="2" s="1"/>
  <c r="A9" i="2"/>
  <c r="D9" i="2" s="1"/>
  <c r="E8" i="2"/>
  <c r="F8" i="2" s="1"/>
  <c r="A8" i="2"/>
  <c r="C8" i="2" s="1"/>
  <c r="G8" i="2" s="1"/>
  <c r="B5" i="2"/>
  <c r="B4" i="2"/>
  <c r="C19" i="1"/>
  <c r="O214" i="4"/>
  <c r="N214" i="4"/>
  <c r="M214" i="4"/>
  <c r="L214" i="4"/>
  <c r="I214" i="4"/>
  <c r="H214" i="4"/>
  <c r="G214" i="4"/>
  <c r="F214" i="4"/>
  <c r="O213" i="4"/>
  <c r="N213" i="4"/>
  <c r="M213" i="4"/>
  <c r="L213" i="4"/>
  <c r="I213" i="4"/>
  <c r="H213" i="4"/>
  <c r="G213" i="4"/>
  <c r="F213" i="4"/>
  <c r="O212" i="4"/>
  <c r="N212" i="4"/>
  <c r="M212" i="4"/>
  <c r="L212" i="4"/>
  <c r="I212" i="4"/>
  <c r="H212" i="4"/>
  <c r="G212" i="4"/>
  <c r="F212" i="4"/>
  <c r="O211" i="4"/>
  <c r="N211" i="4"/>
  <c r="M211" i="4"/>
  <c r="L211" i="4"/>
  <c r="I211" i="4"/>
  <c r="H211" i="4"/>
  <c r="G211" i="4"/>
  <c r="F211" i="4"/>
  <c r="O210" i="4"/>
  <c r="N210" i="4"/>
  <c r="M210" i="4"/>
  <c r="L210" i="4"/>
  <c r="I210" i="4"/>
  <c r="H210" i="4"/>
  <c r="G210" i="4"/>
  <c r="F210" i="4"/>
  <c r="O209" i="4"/>
  <c r="N209" i="4"/>
  <c r="M209" i="4"/>
  <c r="L209" i="4"/>
  <c r="I209" i="4"/>
  <c r="H209" i="4"/>
  <c r="G209" i="4"/>
  <c r="F209" i="4"/>
  <c r="O208" i="4"/>
  <c r="N208" i="4"/>
  <c r="M208" i="4"/>
  <c r="L208" i="4"/>
  <c r="I208" i="4"/>
  <c r="H208" i="4"/>
  <c r="G208" i="4"/>
  <c r="F208" i="4"/>
  <c r="O207" i="4"/>
  <c r="N207" i="4"/>
  <c r="M207" i="4"/>
  <c r="L207" i="4"/>
  <c r="I207" i="4"/>
  <c r="H207" i="4"/>
  <c r="G207" i="4"/>
  <c r="F207" i="4"/>
  <c r="O206" i="4"/>
  <c r="N206" i="4"/>
  <c r="M206" i="4"/>
  <c r="L206" i="4"/>
  <c r="I206" i="4"/>
  <c r="H206" i="4"/>
  <c r="G206" i="4"/>
  <c r="F206" i="4"/>
  <c r="O205" i="4"/>
  <c r="N205" i="4"/>
  <c r="M205" i="4"/>
  <c r="L205" i="4"/>
  <c r="I205" i="4"/>
  <c r="H205" i="4"/>
  <c r="G205" i="4"/>
  <c r="F205" i="4"/>
  <c r="O204" i="4"/>
  <c r="N204" i="4"/>
  <c r="M204" i="4"/>
  <c r="L204" i="4"/>
  <c r="I204" i="4"/>
  <c r="H204" i="4"/>
  <c r="G204" i="4"/>
  <c r="F204" i="4"/>
  <c r="O203" i="4"/>
  <c r="N203" i="4"/>
  <c r="M203" i="4"/>
  <c r="L203" i="4"/>
  <c r="I203" i="4"/>
  <c r="H203" i="4"/>
  <c r="G203" i="4"/>
  <c r="F203" i="4"/>
  <c r="O202" i="4"/>
  <c r="N202" i="4"/>
  <c r="M202" i="4"/>
  <c r="L202" i="4"/>
  <c r="I202" i="4"/>
  <c r="H202" i="4"/>
  <c r="G202" i="4"/>
  <c r="F202" i="4"/>
  <c r="O201" i="4"/>
  <c r="N201" i="4"/>
  <c r="M201" i="4"/>
  <c r="L201" i="4"/>
  <c r="I201" i="4"/>
  <c r="H201" i="4"/>
  <c r="G201" i="4"/>
  <c r="F201" i="4"/>
  <c r="O200" i="4"/>
  <c r="N200" i="4"/>
  <c r="M200" i="4"/>
  <c r="L200" i="4"/>
  <c r="I200" i="4"/>
  <c r="H200" i="4"/>
  <c r="G200" i="4"/>
  <c r="F200" i="4"/>
  <c r="O199" i="4"/>
  <c r="N199" i="4"/>
  <c r="M199" i="4"/>
  <c r="L199" i="4"/>
  <c r="I199" i="4"/>
  <c r="H199" i="4"/>
  <c r="G199" i="4"/>
  <c r="F199" i="4"/>
  <c r="O198" i="4"/>
  <c r="N198" i="4"/>
  <c r="M198" i="4"/>
  <c r="L198" i="4"/>
  <c r="I198" i="4"/>
  <c r="H198" i="4"/>
  <c r="G198" i="4"/>
  <c r="F198" i="4"/>
  <c r="O197" i="4"/>
  <c r="N197" i="4"/>
  <c r="M197" i="4"/>
  <c r="L197" i="4"/>
  <c r="I197" i="4"/>
  <c r="H197" i="4"/>
  <c r="G197" i="4"/>
  <c r="F197" i="4"/>
  <c r="O196" i="4"/>
  <c r="N196" i="4"/>
  <c r="M196" i="4"/>
  <c r="L196" i="4"/>
  <c r="I196" i="4"/>
  <c r="H196" i="4"/>
  <c r="G196" i="4"/>
  <c r="F196" i="4"/>
  <c r="O195" i="4"/>
  <c r="N195" i="4"/>
  <c r="M195" i="4"/>
  <c r="L195" i="4"/>
  <c r="I195" i="4"/>
  <c r="H195" i="4"/>
  <c r="G195" i="4"/>
  <c r="F195" i="4"/>
  <c r="O194" i="4"/>
  <c r="N194" i="4"/>
  <c r="M194" i="4"/>
  <c r="L194" i="4"/>
  <c r="I194" i="4"/>
  <c r="H194" i="4"/>
  <c r="G194" i="4"/>
  <c r="F194" i="4"/>
  <c r="O193" i="4"/>
  <c r="N193" i="4"/>
  <c r="M193" i="4"/>
  <c r="L193" i="4"/>
  <c r="I193" i="4"/>
  <c r="H193" i="4"/>
  <c r="G193" i="4"/>
  <c r="F193" i="4"/>
  <c r="O192" i="4"/>
  <c r="N192" i="4"/>
  <c r="M192" i="4"/>
  <c r="L192" i="4"/>
  <c r="I192" i="4"/>
  <c r="H192" i="4"/>
  <c r="G192" i="4"/>
  <c r="F192" i="4"/>
  <c r="O191" i="4"/>
  <c r="N191" i="4"/>
  <c r="M191" i="4"/>
  <c r="L191" i="4"/>
  <c r="I191" i="4"/>
  <c r="H191" i="4"/>
  <c r="G191" i="4"/>
  <c r="F191" i="4"/>
  <c r="O190" i="4"/>
  <c r="N190" i="4"/>
  <c r="M190" i="4"/>
  <c r="L190" i="4"/>
  <c r="I190" i="4"/>
  <c r="H190" i="4"/>
  <c r="G190" i="4"/>
  <c r="F190" i="4"/>
  <c r="O189" i="4"/>
  <c r="N189" i="4"/>
  <c r="M189" i="4"/>
  <c r="L189" i="4"/>
  <c r="I189" i="4"/>
  <c r="H189" i="4"/>
  <c r="G189" i="4"/>
  <c r="F189" i="4"/>
  <c r="O188" i="4"/>
  <c r="N188" i="4"/>
  <c r="M188" i="4"/>
  <c r="L188" i="4"/>
  <c r="I188" i="4"/>
  <c r="H188" i="4"/>
  <c r="G188" i="4"/>
  <c r="F188" i="4"/>
  <c r="O187" i="4"/>
  <c r="N187" i="4"/>
  <c r="M187" i="4"/>
  <c r="L187" i="4"/>
  <c r="I187" i="4"/>
  <c r="H187" i="4"/>
  <c r="G187" i="4"/>
  <c r="F187" i="4"/>
  <c r="O186" i="4"/>
  <c r="N186" i="4"/>
  <c r="M186" i="4"/>
  <c r="L186" i="4"/>
  <c r="I186" i="4"/>
  <c r="H186" i="4"/>
  <c r="G186" i="4"/>
  <c r="F186" i="4"/>
  <c r="O185" i="4"/>
  <c r="N185" i="4"/>
  <c r="M185" i="4"/>
  <c r="L185" i="4"/>
  <c r="I185" i="4"/>
  <c r="H185" i="4"/>
  <c r="G185" i="4"/>
  <c r="F185" i="4"/>
  <c r="O184" i="4"/>
  <c r="N184" i="4"/>
  <c r="M184" i="4"/>
  <c r="L184" i="4"/>
  <c r="I184" i="4"/>
  <c r="H184" i="4"/>
  <c r="G184" i="4"/>
  <c r="F184" i="4"/>
  <c r="O183" i="4"/>
  <c r="N183" i="4"/>
  <c r="M183" i="4"/>
  <c r="L183" i="4"/>
  <c r="I183" i="4"/>
  <c r="H183" i="4"/>
  <c r="G183" i="4"/>
  <c r="F183" i="4"/>
  <c r="O182" i="4"/>
  <c r="N182" i="4"/>
  <c r="M182" i="4"/>
  <c r="L182" i="4"/>
  <c r="I182" i="4"/>
  <c r="H182" i="4"/>
  <c r="G182" i="4"/>
  <c r="F182" i="4"/>
  <c r="O181" i="4"/>
  <c r="N181" i="4"/>
  <c r="M181" i="4"/>
  <c r="L181" i="4"/>
  <c r="I181" i="4"/>
  <c r="H181" i="4"/>
  <c r="G181" i="4"/>
  <c r="F181" i="4"/>
  <c r="O180" i="4"/>
  <c r="N180" i="4"/>
  <c r="M180" i="4"/>
  <c r="L180" i="4"/>
  <c r="I180" i="4"/>
  <c r="H180" i="4"/>
  <c r="G180" i="4"/>
  <c r="F180" i="4"/>
  <c r="O179" i="4"/>
  <c r="N179" i="4"/>
  <c r="M179" i="4"/>
  <c r="L179" i="4"/>
  <c r="I179" i="4"/>
  <c r="H179" i="4"/>
  <c r="G179" i="4"/>
  <c r="F179" i="4"/>
  <c r="O178" i="4"/>
  <c r="N178" i="4"/>
  <c r="M178" i="4"/>
  <c r="L178" i="4"/>
  <c r="I178" i="4"/>
  <c r="H178" i="4"/>
  <c r="G178" i="4"/>
  <c r="F178" i="4"/>
  <c r="O177" i="4"/>
  <c r="N177" i="4"/>
  <c r="M177" i="4"/>
  <c r="L177" i="4"/>
  <c r="I177" i="4"/>
  <c r="H177" i="4"/>
  <c r="G177" i="4"/>
  <c r="F177" i="4"/>
  <c r="O176" i="4"/>
  <c r="N176" i="4"/>
  <c r="M176" i="4"/>
  <c r="L176" i="4"/>
  <c r="I176" i="4"/>
  <c r="H176" i="4"/>
  <c r="G176" i="4"/>
  <c r="F176" i="4"/>
  <c r="O175" i="4"/>
  <c r="N175" i="4"/>
  <c r="M175" i="4"/>
  <c r="L175" i="4"/>
  <c r="I175" i="4"/>
  <c r="H175" i="4"/>
  <c r="G175" i="4"/>
  <c r="F175" i="4"/>
  <c r="O174" i="4"/>
  <c r="N174" i="4"/>
  <c r="M174" i="4"/>
  <c r="L174" i="4"/>
  <c r="I174" i="4"/>
  <c r="H174" i="4"/>
  <c r="G174" i="4"/>
  <c r="F174" i="4"/>
  <c r="O173" i="4"/>
  <c r="N173" i="4"/>
  <c r="M173" i="4"/>
  <c r="L173" i="4"/>
  <c r="I173" i="4"/>
  <c r="H173" i="4"/>
  <c r="G173" i="4"/>
  <c r="F173" i="4"/>
  <c r="O172" i="4"/>
  <c r="N172" i="4"/>
  <c r="M172" i="4"/>
  <c r="L172" i="4"/>
  <c r="I172" i="4"/>
  <c r="H172" i="4"/>
  <c r="G172" i="4"/>
  <c r="F172" i="4"/>
  <c r="O171" i="4"/>
  <c r="N171" i="4"/>
  <c r="M171" i="4"/>
  <c r="L171" i="4"/>
  <c r="I171" i="4"/>
  <c r="H171" i="4"/>
  <c r="G171" i="4"/>
  <c r="F171" i="4"/>
  <c r="O170" i="4"/>
  <c r="N170" i="4"/>
  <c r="M170" i="4"/>
  <c r="L170" i="4"/>
  <c r="I170" i="4"/>
  <c r="H170" i="4"/>
  <c r="G170" i="4"/>
  <c r="F170" i="4"/>
  <c r="O169" i="4"/>
  <c r="N169" i="4"/>
  <c r="M169" i="4"/>
  <c r="L169" i="4"/>
  <c r="I169" i="4"/>
  <c r="H169" i="4"/>
  <c r="G169" i="4"/>
  <c r="F169" i="4"/>
  <c r="O168" i="4"/>
  <c r="N168" i="4"/>
  <c r="M168" i="4"/>
  <c r="L168" i="4"/>
  <c r="I168" i="4"/>
  <c r="H168" i="4"/>
  <c r="G168" i="4"/>
  <c r="F168" i="4"/>
  <c r="O167" i="4"/>
  <c r="N167" i="4"/>
  <c r="M167" i="4"/>
  <c r="L167" i="4"/>
  <c r="I167" i="4"/>
  <c r="H167" i="4"/>
  <c r="G167" i="4"/>
  <c r="F167" i="4"/>
  <c r="O166" i="4"/>
  <c r="N166" i="4"/>
  <c r="M166" i="4"/>
  <c r="L166" i="4"/>
  <c r="I166" i="4"/>
  <c r="H166" i="4"/>
  <c r="G166" i="4"/>
  <c r="F166" i="4"/>
  <c r="O165" i="4"/>
  <c r="N165" i="4"/>
  <c r="M165" i="4"/>
  <c r="L165" i="4"/>
  <c r="I165" i="4"/>
  <c r="H165" i="4"/>
  <c r="G165" i="4"/>
  <c r="F165" i="4"/>
  <c r="O164" i="4"/>
  <c r="N164" i="4"/>
  <c r="M164" i="4"/>
  <c r="L164" i="4"/>
  <c r="I164" i="4"/>
  <c r="H164" i="4"/>
  <c r="G164" i="4"/>
  <c r="F164" i="4"/>
  <c r="O163" i="4"/>
  <c r="N163" i="4"/>
  <c r="M163" i="4"/>
  <c r="L163" i="4"/>
  <c r="I163" i="4"/>
  <c r="H163" i="4"/>
  <c r="G163" i="4"/>
  <c r="F163" i="4"/>
  <c r="O162" i="4"/>
  <c r="N162" i="4"/>
  <c r="M162" i="4"/>
  <c r="L162" i="4"/>
  <c r="I162" i="4"/>
  <c r="H162" i="4"/>
  <c r="G162" i="4"/>
  <c r="F162" i="4"/>
  <c r="O161" i="4"/>
  <c r="N161" i="4"/>
  <c r="M161" i="4"/>
  <c r="L161" i="4"/>
  <c r="I161" i="4"/>
  <c r="H161" i="4"/>
  <c r="G161" i="4"/>
  <c r="F161" i="4"/>
  <c r="O160" i="4"/>
  <c r="N160" i="4"/>
  <c r="M160" i="4"/>
  <c r="L160" i="4"/>
  <c r="I160" i="4"/>
  <c r="H160" i="4"/>
  <c r="G160" i="4"/>
  <c r="F160" i="4"/>
  <c r="O159" i="4"/>
  <c r="N159" i="4"/>
  <c r="M159" i="4"/>
  <c r="L159" i="4"/>
  <c r="I159" i="4"/>
  <c r="H159" i="4"/>
  <c r="G159" i="4"/>
  <c r="F159" i="4"/>
  <c r="O158" i="4"/>
  <c r="N158" i="4"/>
  <c r="M158" i="4"/>
  <c r="L158" i="4"/>
  <c r="I158" i="4"/>
  <c r="H158" i="4"/>
  <c r="G158" i="4"/>
  <c r="F158" i="4"/>
  <c r="O157" i="4"/>
  <c r="N157" i="4"/>
  <c r="M157" i="4"/>
  <c r="L157" i="4"/>
  <c r="I157" i="4"/>
  <c r="H157" i="4"/>
  <c r="G157" i="4"/>
  <c r="F157" i="4"/>
  <c r="O156" i="4"/>
  <c r="N156" i="4"/>
  <c r="M156" i="4"/>
  <c r="L156" i="4"/>
  <c r="I156" i="4"/>
  <c r="H156" i="4"/>
  <c r="G156" i="4"/>
  <c r="F156" i="4"/>
  <c r="O155" i="4"/>
  <c r="N155" i="4"/>
  <c r="M155" i="4"/>
  <c r="L155" i="4"/>
  <c r="I155" i="4"/>
  <c r="H155" i="4"/>
  <c r="G155" i="4"/>
  <c r="F155" i="4"/>
  <c r="O154" i="4"/>
  <c r="N154" i="4"/>
  <c r="M154" i="4"/>
  <c r="L154" i="4"/>
  <c r="I154" i="4"/>
  <c r="H154" i="4"/>
  <c r="G154" i="4"/>
  <c r="F154" i="4"/>
  <c r="O153" i="4"/>
  <c r="N153" i="4"/>
  <c r="M153" i="4"/>
  <c r="L153" i="4"/>
  <c r="I153" i="4"/>
  <c r="H153" i="4"/>
  <c r="G153" i="4"/>
  <c r="F153" i="4"/>
  <c r="O152" i="4"/>
  <c r="N152" i="4"/>
  <c r="M152" i="4"/>
  <c r="L152" i="4"/>
  <c r="I152" i="4"/>
  <c r="H152" i="4"/>
  <c r="G152" i="4"/>
  <c r="F152" i="4"/>
  <c r="O151" i="4"/>
  <c r="N151" i="4"/>
  <c r="M151" i="4"/>
  <c r="L151" i="4"/>
  <c r="I151" i="4"/>
  <c r="H151" i="4"/>
  <c r="G151" i="4"/>
  <c r="F151" i="4"/>
  <c r="O150" i="4"/>
  <c r="N150" i="4"/>
  <c r="M150" i="4"/>
  <c r="L150" i="4"/>
  <c r="I150" i="4"/>
  <c r="H150" i="4"/>
  <c r="G150" i="4"/>
  <c r="F150" i="4"/>
  <c r="O149" i="4"/>
  <c r="N149" i="4"/>
  <c r="M149" i="4"/>
  <c r="L149" i="4"/>
  <c r="I149" i="4"/>
  <c r="H149" i="4"/>
  <c r="G149" i="4"/>
  <c r="F149" i="4"/>
  <c r="O148" i="4"/>
  <c r="N148" i="4"/>
  <c r="M148" i="4"/>
  <c r="L148" i="4"/>
  <c r="I148" i="4"/>
  <c r="H148" i="4"/>
  <c r="G148" i="4"/>
  <c r="F148" i="4"/>
  <c r="O147" i="4"/>
  <c r="N147" i="4"/>
  <c r="M147" i="4"/>
  <c r="L147" i="4"/>
  <c r="I147" i="4"/>
  <c r="H147" i="4"/>
  <c r="G147" i="4"/>
  <c r="F147" i="4"/>
  <c r="O146" i="4"/>
  <c r="N146" i="4"/>
  <c r="M146" i="4"/>
  <c r="L146" i="4"/>
  <c r="I146" i="4"/>
  <c r="H146" i="4"/>
  <c r="G146" i="4"/>
  <c r="F146" i="4"/>
  <c r="O145" i="4"/>
  <c r="N145" i="4"/>
  <c r="M145" i="4"/>
  <c r="L145" i="4"/>
  <c r="I145" i="4"/>
  <c r="H145" i="4"/>
  <c r="G145" i="4"/>
  <c r="F145" i="4"/>
  <c r="O144" i="4"/>
  <c r="N144" i="4"/>
  <c r="M144" i="4"/>
  <c r="L144" i="4"/>
  <c r="I144" i="4"/>
  <c r="H144" i="4"/>
  <c r="G144" i="4"/>
  <c r="F144" i="4"/>
  <c r="O143" i="4"/>
  <c r="N143" i="4"/>
  <c r="M143" i="4"/>
  <c r="L143" i="4"/>
  <c r="I143" i="4"/>
  <c r="H143" i="4"/>
  <c r="G143" i="4"/>
  <c r="F143" i="4"/>
  <c r="O142" i="4"/>
  <c r="N142" i="4"/>
  <c r="M142" i="4"/>
  <c r="L142" i="4"/>
  <c r="I142" i="4"/>
  <c r="H142" i="4"/>
  <c r="G142" i="4"/>
  <c r="F142" i="4"/>
  <c r="O141" i="4"/>
  <c r="N141" i="4"/>
  <c r="M141" i="4"/>
  <c r="L141" i="4"/>
  <c r="I141" i="4"/>
  <c r="H141" i="4"/>
  <c r="G141" i="4"/>
  <c r="F141" i="4"/>
  <c r="O140" i="4"/>
  <c r="N140" i="4"/>
  <c r="M140" i="4"/>
  <c r="L140" i="4"/>
  <c r="I140" i="4"/>
  <c r="H140" i="4"/>
  <c r="G140" i="4"/>
  <c r="F140" i="4"/>
  <c r="O139" i="4"/>
  <c r="N139" i="4"/>
  <c r="M139" i="4"/>
  <c r="L139" i="4"/>
  <c r="I139" i="4"/>
  <c r="H139" i="4"/>
  <c r="G139" i="4"/>
  <c r="F139" i="4"/>
  <c r="O138" i="4"/>
  <c r="N138" i="4"/>
  <c r="M138" i="4"/>
  <c r="L138" i="4"/>
  <c r="I138" i="4"/>
  <c r="H138" i="4"/>
  <c r="G138" i="4"/>
  <c r="F138" i="4"/>
  <c r="O137" i="4"/>
  <c r="N137" i="4"/>
  <c r="M137" i="4"/>
  <c r="L137" i="4"/>
  <c r="I137" i="4"/>
  <c r="H137" i="4"/>
  <c r="G137" i="4"/>
  <c r="F137" i="4"/>
  <c r="O136" i="4"/>
  <c r="N136" i="4"/>
  <c r="M136" i="4"/>
  <c r="L136" i="4"/>
  <c r="I136" i="4"/>
  <c r="H136" i="4"/>
  <c r="G136" i="4"/>
  <c r="F136" i="4"/>
  <c r="O135" i="4"/>
  <c r="N135" i="4"/>
  <c r="M135" i="4"/>
  <c r="L135" i="4"/>
  <c r="I135" i="4"/>
  <c r="H135" i="4"/>
  <c r="G135" i="4"/>
  <c r="F135" i="4"/>
  <c r="O134" i="4"/>
  <c r="N134" i="4"/>
  <c r="M134" i="4"/>
  <c r="L134" i="4"/>
  <c r="I134" i="4"/>
  <c r="H134" i="4"/>
  <c r="G134" i="4"/>
  <c r="F134" i="4"/>
  <c r="O133" i="4"/>
  <c r="N133" i="4"/>
  <c r="M133" i="4"/>
  <c r="L133" i="4"/>
  <c r="I133" i="4"/>
  <c r="H133" i="4"/>
  <c r="G133" i="4"/>
  <c r="F133" i="4"/>
  <c r="O132" i="4"/>
  <c r="N132" i="4"/>
  <c r="M132" i="4"/>
  <c r="L132" i="4"/>
  <c r="I132" i="4"/>
  <c r="H132" i="4"/>
  <c r="G132" i="4"/>
  <c r="F132" i="4"/>
  <c r="O131" i="4"/>
  <c r="N131" i="4"/>
  <c r="M131" i="4"/>
  <c r="L131" i="4"/>
  <c r="I131" i="4"/>
  <c r="H131" i="4"/>
  <c r="G131" i="4"/>
  <c r="F131" i="4"/>
  <c r="O130" i="4"/>
  <c r="N130" i="4"/>
  <c r="M130" i="4"/>
  <c r="L130" i="4"/>
  <c r="I130" i="4"/>
  <c r="H130" i="4"/>
  <c r="G130" i="4"/>
  <c r="F130" i="4"/>
  <c r="O129" i="4"/>
  <c r="N129" i="4"/>
  <c r="M129" i="4"/>
  <c r="L129" i="4"/>
  <c r="I129" i="4"/>
  <c r="H129" i="4"/>
  <c r="G129" i="4"/>
  <c r="F129" i="4"/>
  <c r="O128" i="4"/>
  <c r="N128" i="4"/>
  <c r="M128" i="4"/>
  <c r="L128" i="4"/>
  <c r="I128" i="4"/>
  <c r="H128" i="4"/>
  <c r="G128" i="4"/>
  <c r="F128" i="4"/>
  <c r="O127" i="4"/>
  <c r="N127" i="4"/>
  <c r="M127" i="4"/>
  <c r="L127" i="4"/>
  <c r="I127" i="4"/>
  <c r="H127" i="4"/>
  <c r="G127" i="4"/>
  <c r="F127" i="4"/>
  <c r="O126" i="4"/>
  <c r="N126" i="4"/>
  <c r="M126" i="4"/>
  <c r="L126" i="4"/>
  <c r="I126" i="4"/>
  <c r="H126" i="4"/>
  <c r="G126" i="4"/>
  <c r="F126" i="4"/>
  <c r="O125" i="4"/>
  <c r="N125" i="4"/>
  <c r="M125" i="4"/>
  <c r="L125" i="4"/>
  <c r="I125" i="4"/>
  <c r="H125" i="4"/>
  <c r="G125" i="4"/>
  <c r="F125" i="4"/>
  <c r="O124" i="4"/>
  <c r="N124" i="4"/>
  <c r="M124" i="4"/>
  <c r="L124" i="4"/>
  <c r="I124" i="4"/>
  <c r="H124" i="4"/>
  <c r="G124" i="4"/>
  <c r="F124" i="4"/>
  <c r="O123" i="4"/>
  <c r="N123" i="4"/>
  <c r="M123" i="4"/>
  <c r="L123" i="4"/>
  <c r="I123" i="4"/>
  <c r="H123" i="4"/>
  <c r="G123" i="4"/>
  <c r="F123" i="4"/>
  <c r="O122" i="4"/>
  <c r="N122" i="4"/>
  <c r="M122" i="4"/>
  <c r="L122" i="4"/>
  <c r="I122" i="4"/>
  <c r="H122" i="4"/>
  <c r="G122" i="4"/>
  <c r="F122" i="4"/>
  <c r="O121" i="4"/>
  <c r="N121" i="4"/>
  <c r="M121" i="4"/>
  <c r="L121" i="4"/>
  <c r="I121" i="4"/>
  <c r="H121" i="4"/>
  <c r="G121" i="4"/>
  <c r="F121" i="4"/>
  <c r="O120" i="4"/>
  <c r="N120" i="4"/>
  <c r="M120" i="4"/>
  <c r="L120" i="4"/>
  <c r="I120" i="4"/>
  <c r="H120" i="4"/>
  <c r="G120" i="4"/>
  <c r="F120" i="4"/>
  <c r="O119" i="4"/>
  <c r="N119" i="4"/>
  <c r="M119" i="4"/>
  <c r="L119" i="4"/>
  <c r="I119" i="4"/>
  <c r="H119" i="4"/>
  <c r="G119" i="4"/>
  <c r="F119" i="4"/>
  <c r="O118" i="4"/>
  <c r="N118" i="4"/>
  <c r="M118" i="4"/>
  <c r="L118" i="4"/>
  <c r="I118" i="4"/>
  <c r="H118" i="4"/>
  <c r="G118" i="4"/>
  <c r="F118" i="4"/>
  <c r="O117" i="4"/>
  <c r="N117" i="4"/>
  <c r="M117" i="4"/>
  <c r="L117" i="4"/>
  <c r="I117" i="4"/>
  <c r="H117" i="4"/>
  <c r="G117" i="4"/>
  <c r="F117" i="4"/>
  <c r="O116" i="4"/>
  <c r="N116" i="4"/>
  <c r="M116" i="4"/>
  <c r="L116" i="4"/>
  <c r="I116" i="4"/>
  <c r="H116" i="4"/>
  <c r="G116" i="4"/>
  <c r="F116" i="4"/>
  <c r="O115" i="4"/>
  <c r="N115" i="4"/>
  <c r="M115" i="4"/>
  <c r="L115" i="4"/>
  <c r="I115" i="4"/>
  <c r="H115" i="4"/>
  <c r="G115" i="4"/>
  <c r="F115" i="4"/>
  <c r="O114" i="4"/>
  <c r="N114" i="4"/>
  <c r="M114" i="4"/>
  <c r="L114" i="4"/>
  <c r="I114" i="4"/>
  <c r="H114" i="4"/>
  <c r="G114" i="4"/>
  <c r="F114" i="4"/>
  <c r="O113" i="4"/>
  <c r="N113" i="4"/>
  <c r="M113" i="4"/>
  <c r="L113" i="4"/>
  <c r="I113" i="4"/>
  <c r="H113" i="4"/>
  <c r="G113" i="4"/>
  <c r="F113" i="4"/>
  <c r="O112" i="4"/>
  <c r="N112" i="4"/>
  <c r="M112" i="4"/>
  <c r="L112" i="4"/>
  <c r="I112" i="4"/>
  <c r="H112" i="4"/>
  <c r="G112" i="4"/>
  <c r="F112" i="4"/>
  <c r="O111" i="4"/>
  <c r="N111" i="4"/>
  <c r="M111" i="4"/>
  <c r="L111" i="4"/>
  <c r="I111" i="4"/>
  <c r="H111" i="4"/>
  <c r="G111" i="4"/>
  <c r="F111" i="4"/>
  <c r="O110" i="4"/>
  <c r="N110" i="4"/>
  <c r="M110" i="4"/>
  <c r="L110" i="4"/>
  <c r="I110" i="4"/>
  <c r="H110" i="4"/>
  <c r="G110" i="4"/>
  <c r="F110" i="4"/>
  <c r="O109" i="4"/>
  <c r="N109" i="4"/>
  <c r="M109" i="4"/>
  <c r="L109" i="4"/>
  <c r="I109" i="4"/>
  <c r="H109" i="4"/>
  <c r="G109" i="4"/>
  <c r="F109" i="4"/>
  <c r="O108" i="4"/>
  <c r="N108" i="4"/>
  <c r="M108" i="4"/>
  <c r="L108" i="4"/>
  <c r="I108" i="4"/>
  <c r="H108" i="4"/>
  <c r="G108" i="4"/>
  <c r="F108" i="4"/>
  <c r="O107" i="4"/>
  <c r="N107" i="4"/>
  <c r="M107" i="4"/>
  <c r="L107" i="4"/>
  <c r="I107" i="4"/>
  <c r="H107" i="4"/>
  <c r="G107" i="4"/>
  <c r="F107" i="4"/>
  <c r="O106" i="4"/>
  <c r="N106" i="4"/>
  <c r="M106" i="4"/>
  <c r="L106" i="4"/>
  <c r="I106" i="4"/>
  <c r="H106" i="4"/>
  <c r="G106" i="4"/>
  <c r="F106" i="4"/>
  <c r="O105" i="4"/>
  <c r="N105" i="4"/>
  <c r="M105" i="4"/>
  <c r="L105" i="4"/>
  <c r="I105" i="4"/>
  <c r="H105" i="4"/>
  <c r="G105" i="4"/>
  <c r="F105" i="4"/>
  <c r="O104" i="4"/>
  <c r="N104" i="4"/>
  <c r="M104" i="4"/>
  <c r="L104" i="4"/>
  <c r="I104" i="4"/>
  <c r="H104" i="4"/>
  <c r="G104" i="4"/>
  <c r="F104" i="4"/>
  <c r="O103" i="4"/>
  <c r="N103" i="4"/>
  <c r="M103" i="4"/>
  <c r="L103" i="4"/>
  <c r="I103" i="4"/>
  <c r="H103" i="4"/>
  <c r="G103" i="4"/>
  <c r="F103" i="4"/>
  <c r="O102" i="4"/>
  <c r="N102" i="4"/>
  <c r="M102" i="4"/>
  <c r="L102" i="4"/>
  <c r="I102" i="4"/>
  <c r="H102" i="4"/>
  <c r="G102" i="4"/>
  <c r="F102" i="4"/>
  <c r="O101" i="4"/>
  <c r="N101" i="4"/>
  <c r="M101" i="4"/>
  <c r="L101" i="4"/>
  <c r="I101" i="4"/>
  <c r="H101" i="4"/>
  <c r="G101" i="4"/>
  <c r="F101" i="4"/>
  <c r="O100" i="4"/>
  <c r="N100" i="4"/>
  <c r="M100" i="4"/>
  <c r="L100" i="4"/>
  <c r="I100" i="4"/>
  <c r="H100" i="4"/>
  <c r="G100" i="4"/>
  <c r="F100" i="4"/>
  <c r="O99" i="4"/>
  <c r="N99" i="4"/>
  <c r="M99" i="4"/>
  <c r="L99" i="4"/>
  <c r="I99" i="4"/>
  <c r="H99" i="4"/>
  <c r="G99" i="4"/>
  <c r="F99" i="4"/>
  <c r="O98" i="4"/>
  <c r="N98" i="4"/>
  <c r="M98" i="4"/>
  <c r="L98" i="4"/>
  <c r="I98" i="4"/>
  <c r="H98" i="4"/>
  <c r="G98" i="4"/>
  <c r="F98" i="4"/>
  <c r="O97" i="4"/>
  <c r="N97" i="4"/>
  <c r="M97" i="4"/>
  <c r="L97" i="4"/>
  <c r="I97" i="4"/>
  <c r="H97" i="4"/>
  <c r="G97" i="4"/>
  <c r="F97" i="4"/>
  <c r="O96" i="4"/>
  <c r="N96" i="4"/>
  <c r="M96" i="4"/>
  <c r="L96" i="4"/>
  <c r="I96" i="4"/>
  <c r="H96" i="4"/>
  <c r="G96" i="4"/>
  <c r="F96" i="4"/>
  <c r="O95" i="4"/>
  <c r="N95" i="4"/>
  <c r="M95" i="4"/>
  <c r="L95" i="4"/>
  <c r="I95" i="4"/>
  <c r="H95" i="4"/>
  <c r="G95" i="4"/>
  <c r="F95" i="4"/>
  <c r="O94" i="4"/>
  <c r="N94" i="4"/>
  <c r="M94" i="4"/>
  <c r="L94" i="4"/>
  <c r="I94" i="4"/>
  <c r="H94" i="4"/>
  <c r="G94" i="4"/>
  <c r="F94" i="4"/>
  <c r="O93" i="4"/>
  <c r="N93" i="4"/>
  <c r="M93" i="4"/>
  <c r="L93" i="4"/>
  <c r="I93" i="4"/>
  <c r="H93" i="4"/>
  <c r="G93" i="4"/>
  <c r="F93" i="4"/>
  <c r="O92" i="4"/>
  <c r="N92" i="4"/>
  <c r="M92" i="4"/>
  <c r="L92" i="4"/>
  <c r="I92" i="4"/>
  <c r="H92" i="4"/>
  <c r="G92" i="4"/>
  <c r="F92" i="4"/>
  <c r="O91" i="4"/>
  <c r="N91" i="4"/>
  <c r="M91" i="4"/>
  <c r="L91" i="4"/>
  <c r="I91" i="4"/>
  <c r="H91" i="4"/>
  <c r="G91" i="4"/>
  <c r="F91" i="4"/>
  <c r="O90" i="4"/>
  <c r="N90" i="4"/>
  <c r="M90" i="4"/>
  <c r="L90" i="4"/>
  <c r="I90" i="4"/>
  <c r="H90" i="4"/>
  <c r="G90" i="4"/>
  <c r="F90" i="4"/>
  <c r="O89" i="4"/>
  <c r="N89" i="4"/>
  <c r="M89" i="4"/>
  <c r="L89" i="4"/>
  <c r="I89" i="4"/>
  <c r="H89" i="4"/>
  <c r="G89" i="4"/>
  <c r="F89" i="4"/>
  <c r="I88" i="4"/>
  <c r="H88" i="4"/>
  <c r="F88" i="4"/>
  <c r="I87" i="4"/>
  <c r="H87" i="4"/>
  <c r="F87" i="4"/>
  <c r="I86" i="4"/>
  <c r="H86" i="4"/>
  <c r="F86" i="4"/>
  <c r="O85" i="4"/>
  <c r="N85" i="4"/>
  <c r="M85" i="4"/>
  <c r="L85" i="4"/>
  <c r="I85" i="4"/>
  <c r="H85" i="4"/>
  <c r="G85" i="4"/>
  <c r="F85" i="4"/>
  <c r="I84" i="4"/>
  <c r="H84" i="4"/>
  <c r="F84" i="4"/>
  <c r="I83" i="4"/>
  <c r="H83" i="4"/>
  <c r="F83" i="4"/>
  <c r="I82" i="4"/>
  <c r="H82" i="4"/>
  <c r="F82" i="4"/>
  <c r="I81" i="4"/>
  <c r="H81" i="4"/>
  <c r="F81" i="4"/>
  <c r="I80" i="4"/>
  <c r="H80" i="4"/>
  <c r="F80" i="4"/>
  <c r="I79" i="4"/>
  <c r="H79" i="4"/>
  <c r="F79" i="4"/>
  <c r="I78" i="4"/>
  <c r="H78" i="4"/>
  <c r="F78" i="4"/>
  <c r="I77" i="4"/>
  <c r="H77" i="4"/>
  <c r="F77" i="4"/>
  <c r="I76" i="4"/>
  <c r="H76" i="4"/>
  <c r="F76" i="4"/>
  <c r="I75" i="4"/>
  <c r="H75" i="4"/>
  <c r="F75" i="4"/>
  <c r="I74" i="4"/>
  <c r="H74" i="4"/>
  <c r="F74" i="4"/>
  <c r="I73" i="4"/>
  <c r="H73" i="4"/>
  <c r="F73" i="4"/>
  <c r="I72" i="4"/>
  <c r="H72" i="4"/>
  <c r="F72" i="4"/>
  <c r="I71" i="4"/>
  <c r="H71" i="4"/>
  <c r="F71" i="4"/>
  <c r="I70" i="4"/>
  <c r="H70" i="4"/>
  <c r="F70" i="4"/>
  <c r="I69" i="4"/>
  <c r="H69" i="4"/>
  <c r="F69" i="4"/>
  <c r="I68" i="4"/>
  <c r="H68" i="4"/>
  <c r="F68" i="4"/>
  <c r="I67" i="4"/>
  <c r="H67" i="4"/>
  <c r="F67" i="4"/>
  <c r="H66" i="4"/>
  <c r="F66" i="4"/>
  <c r="I65" i="4"/>
  <c r="H65" i="4"/>
  <c r="F65" i="4"/>
  <c r="I64" i="4"/>
  <c r="H64" i="4"/>
  <c r="F64" i="4"/>
  <c r="I63" i="4"/>
  <c r="H63" i="4"/>
  <c r="F63" i="4"/>
  <c r="I62" i="4"/>
  <c r="H62" i="4"/>
  <c r="F62" i="4"/>
  <c r="I61" i="4"/>
  <c r="H61" i="4"/>
  <c r="F61" i="4"/>
  <c r="I60" i="4"/>
  <c r="H60" i="4"/>
  <c r="F60" i="4"/>
  <c r="I59" i="4"/>
  <c r="H59" i="4"/>
  <c r="F59" i="4"/>
  <c r="I58" i="4"/>
  <c r="H58" i="4"/>
  <c r="F58" i="4"/>
  <c r="I57" i="4"/>
  <c r="H57" i="4"/>
  <c r="F57" i="4"/>
  <c r="I56" i="4"/>
  <c r="H56" i="4"/>
  <c r="F56" i="4"/>
  <c r="I55" i="4"/>
  <c r="H55" i="4"/>
  <c r="F55" i="4"/>
  <c r="I54" i="4"/>
  <c r="H54" i="4"/>
  <c r="F54" i="4"/>
  <c r="I53" i="4"/>
  <c r="H53" i="4"/>
  <c r="F53" i="4"/>
  <c r="I52" i="4"/>
  <c r="H52" i="4"/>
  <c r="F52" i="4"/>
  <c r="I51" i="4"/>
  <c r="H51" i="4"/>
  <c r="F51" i="4"/>
  <c r="I50" i="4"/>
  <c r="H50" i="4"/>
  <c r="F50" i="4"/>
  <c r="I49" i="4"/>
  <c r="H49" i="4"/>
  <c r="F49" i="4"/>
  <c r="I48" i="4"/>
  <c r="H48" i="4"/>
  <c r="F48" i="4"/>
  <c r="I47" i="4"/>
  <c r="H47" i="4"/>
  <c r="F47" i="4"/>
  <c r="I46" i="4"/>
  <c r="H46" i="4"/>
  <c r="F46" i="4"/>
  <c r="I45" i="4"/>
  <c r="H45" i="4"/>
  <c r="F45" i="4"/>
  <c r="I44" i="4"/>
  <c r="H44" i="4"/>
  <c r="F44" i="4"/>
  <c r="I43" i="4"/>
  <c r="H43" i="4"/>
  <c r="F43" i="4"/>
  <c r="I42" i="4"/>
  <c r="H42" i="4"/>
  <c r="F42" i="4"/>
  <c r="I41" i="4"/>
  <c r="H41" i="4"/>
  <c r="F41" i="4"/>
  <c r="I40" i="4"/>
  <c r="H40" i="4"/>
  <c r="F40" i="4"/>
  <c r="I39" i="4"/>
  <c r="H39" i="4"/>
  <c r="F39" i="4"/>
  <c r="I38" i="4"/>
  <c r="H38" i="4"/>
  <c r="F38" i="4"/>
  <c r="I37" i="4"/>
  <c r="H37" i="4"/>
  <c r="F37" i="4"/>
  <c r="I36" i="4"/>
  <c r="H36" i="4"/>
  <c r="F36" i="4"/>
  <c r="I35" i="4"/>
  <c r="H35" i="4"/>
  <c r="F35" i="4"/>
  <c r="I34" i="4"/>
  <c r="H34" i="4"/>
  <c r="F34" i="4"/>
  <c r="I33" i="4"/>
  <c r="H33" i="4"/>
  <c r="F33" i="4"/>
  <c r="I32" i="4"/>
  <c r="H32" i="4"/>
  <c r="F32" i="4"/>
  <c r="I31" i="4"/>
  <c r="H31" i="4"/>
  <c r="F31" i="4"/>
  <c r="I30" i="4"/>
  <c r="H30" i="4"/>
  <c r="F30" i="4"/>
  <c r="I29" i="4"/>
  <c r="H29" i="4"/>
  <c r="F29" i="4"/>
  <c r="I28" i="4"/>
  <c r="H28" i="4"/>
  <c r="F28" i="4"/>
  <c r="I27" i="4"/>
  <c r="H27" i="4"/>
  <c r="F27" i="4"/>
  <c r="I26" i="4"/>
  <c r="H26" i="4"/>
  <c r="F26" i="4"/>
  <c r="I25" i="4"/>
  <c r="H25" i="4"/>
  <c r="F25" i="4"/>
  <c r="I24" i="4"/>
  <c r="H24" i="4"/>
  <c r="F24" i="4"/>
  <c r="I23" i="4"/>
  <c r="H23" i="4"/>
  <c r="F23" i="4"/>
  <c r="I22" i="4"/>
  <c r="H22" i="4"/>
  <c r="F22" i="4"/>
  <c r="I21" i="4"/>
  <c r="H21" i="4"/>
  <c r="F21" i="4"/>
  <c r="I20" i="4"/>
  <c r="H20" i="4"/>
  <c r="F20" i="4"/>
  <c r="I19" i="4"/>
  <c r="H19" i="4"/>
  <c r="F19" i="4"/>
  <c r="I18" i="4"/>
  <c r="H18" i="4"/>
  <c r="F18" i="4"/>
  <c r="I17" i="4"/>
  <c r="H17" i="4"/>
  <c r="F17" i="4"/>
  <c r="I16" i="4"/>
  <c r="H16" i="4"/>
  <c r="F16" i="4"/>
  <c r="I15" i="4"/>
  <c r="H15" i="4"/>
  <c r="F15" i="4"/>
  <c r="I14" i="4"/>
  <c r="H14" i="4"/>
  <c r="F14" i="4"/>
  <c r="I13" i="4"/>
  <c r="H13" i="4"/>
  <c r="F13" i="4"/>
  <c r="J5" i="4"/>
  <c r="H5" i="4"/>
  <c r="I5" i="4" s="1"/>
  <c r="G5" i="4"/>
  <c r="D5" i="4"/>
  <c r="B5" i="5" s="1"/>
  <c r="B5" i="4"/>
  <c r="L84" i="4" l="1"/>
  <c r="G84" i="4" s="1"/>
  <c r="N84" i="4"/>
  <c r="O84" i="4" s="1"/>
  <c r="N83" i="4"/>
  <c r="O83" i="4" s="1"/>
  <c r="L83" i="4"/>
  <c r="G83" i="4" s="1"/>
  <c r="L88" i="4"/>
  <c r="G88" i="4" s="1"/>
  <c r="N87" i="4"/>
  <c r="O87" i="4" s="1"/>
  <c r="N88" i="4"/>
  <c r="O88" i="4" s="1"/>
  <c r="L86" i="4"/>
  <c r="L87" i="4"/>
  <c r="N86" i="4"/>
  <c r="O86" i="4" s="1"/>
  <c r="N80" i="4"/>
  <c r="O80" i="4" s="1"/>
  <c r="L80" i="4"/>
  <c r="N79" i="4"/>
  <c r="O79" i="4" s="1"/>
  <c r="L79" i="4"/>
  <c r="N78" i="4"/>
  <c r="O78" i="4" s="1"/>
  <c r="L78" i="4"/>
  <c r="N77" i="4"/>
  <c r="O77" i="4" s="1"/>
  <c r="L77" i="4"/>
  <c r="N76" i="4"/>
  <c r="O76" i="4" s="1"/>
  <c r="L76" i="4"/>
  <c r="N73" i="4"/>
  <c r="O73" i="4" s="1"/>
  <c r="L73" i="4"/>
  <c r="N82" i="4"/>
  <c r="O82" i="4" s="1"/>
  <c r="L81" i="4"/>
  <c r="L82" i="4"/>
  <c r="N81" i="4"/>
  <c r="O81" i="4" s="1"/>
  <c r="N72" i="4"/>
  <c r="O72" i="4" s="1"/>
  <c r="L72" i="4"/>
  <c r="N69" i="4"/>
  <c r="O69" i="4" s="1"/>
  <c r="L69" i="4"/>
  <c r="M69" i="4" s="1"/>
  <c r="N75" i="4"/>
  <c r="O75" i="4" s="1"/>
  <c r="L74" i="4"/>
  <c r="L75" i="4"/>
  <c r="N74" i="4"/>
  <c r="O74" i="4" s="1"/>
  <c r="L67" i="4"/>
  <c r="G67" i="4" s="1"/>
  <c r="N67" i="4"/>
  <c r="O67" i="4" s="1"/>
  <c r="N71" i="4"/>
  <c r="O71" i="4" s="1"/>
  <c r="L71" i="4"/>
  <c r="L66" i="4"/>
  <c r="G66" i="4" s="1"/>
  <c r="N66" i="4"/>
  <c r="O66" i="4" s="1"/>
  <c r="K5" i="4"/>
  <c r="B8" i="2"/>
  <c r="D8" i="2"/>
  <c r="B12" i="2"/>
  <c r="C12" i="2"/>
  <c r="G12" i="2" s="1"/>
  <c r="C18" i="2"/>
  <c r="G18" i="2" s="1"/>
  <c r="H18" i="2" s="1"/>
  <c r="D16" i="2"/>
  <c r="C15" i="2"/>
  <c r="G15" i="2" s="1"/>
  <c r="B9" i="2"/>
  <c r="D15" i="2"/>
  <c r="C9" i="2"/>
  <c r="G9" i="2" s="1"/>
  <c r="H9" i="2" s="1"/>
  <c r="B11" i="2"/>
  <c r="B19" i="2"/>
  <c r="C19" i="2"/>
  <c r="G19" i="2" s="1"/>
  <c r="H19" i="2" s="1"/>
  <c r="B16" i="2"/>
  <c r="N18" i="4"/>
  <c r="O18" i="4" s="1"/>
  <c r="B18" i="2"/>
  <c r="N17" i="4"/>
  <c r="O17" i="4" s="1"/>
  <c r="N20" i="4"/>
  <c r="O20" i="4" s="1"/>
  <c r="N28" i="4"/>
  <c r="O28" i="4" s="1"/>
  <c r="D10" i="2"/>
  <c r="D17" i="2"/>
  <c r="N34" i="4"/>
  <c r="O34" i="4" s="1"/>
  <c r="N37" i="4"/>
  <c r="O37" i="4" s="1"/>
  <c r="N25" i="4"/>
  <c r="O25" i="4" s="1"/>
  <c r="N15" i="4"/>
  <c r="O15" i="4" s="1"/>
  <c r="N23" i="4"/>
  <c r="O23" i="4" s="1"/>
  <c r="N31" i="4"/>
  <c r="O31" i="4" s="1"/>
  <c r="N68" i="4"/>
  <c r="O68" i="4" s="1"/>
  <c r="L40" i="4"/>
  <c r="G40" i="4" s="1"/>
  <c r="L48" i="4"/>
  <c r="M48" i="4" s="1"/>
  <c r="L56" i="4"/>
  <c r="G56" i="4" s="1"/>
  <c r="L64" i="4"/>
  <c r="G64" i="4" s="1"/>
  <c r="N70" i="4"/>
  <c r="O70" i="4" s="1"/>
  <c r="N26" i="4"/>
  <c r="O26" i="4" s="1"/>
  <c r="N21" i="4"/>
  <c r="O21" i="4" s="1"/>
  <c r="N29" i="4"/>
  <c r="O29" i="4" s="1"/>
  <c r="N27" i="4"/>
  <c r="O27" i="4" s="1"/>
  <c r="C11" i="2"/>
  <c r="G11" i="2" s="1"/>
  <c r="H11" i="2" s="1"/>
  <c r="B68" i="2"/>
  <c r="C68" i="2" s="1"/>
  <c r="N16" i="4"/>
  <c r="O16" i="4" s="1"/>
  <c r="N19" i="4"/>
  <c r="O19" i="4" s="1"/>
  <c r="L43" i="4"/>
  <c r="M43" i="4" s="1"/>
  <c r="N14" i="4"/>
  <c r="O14" i="4" s="1"/>
  <c r="N22" i="4"/>
  <c r="O22" i="4" s="1"/>
  <c r="N30" i="4"/>
  <c r="O30" i="4" s="1"/>
  <c r="B10" i="2"/>
  <c r="B17" i="2"/>
  <c r="N24" i="4"/>
  <c r="O24" i="4" s="1"/>
  <c r="N32" i="4"/>
  <c r="O32" i="4" s="1"/>
  <c r="N33" i="4"/>
  <c r="O33" i="4" s="1"/>
  <c r="F8" i="5"/>
  <c r="F7" i="5"/>
  <c r="F6" i="5"/>
  <c r="F9" i="5"/>
  <c r="F5" i="5"/>
  <c r="L41" i="4"/>
  <c r="N47" i="4"/>
  <c r="O47" i="4" s="1"/>
  <c r="L57" i="4"/>
  <c r="N63" i="4"/>
  <c r="O63" i="4" s="1"/>
  <c r="N38" i="4"/>
  <c r="O38" i="4" s="1"/>
  <c r="N46" i="4"/>
  <c r="O46" i="4" s="1"/>
  <c r="N54" i="4"/>
  <c r="O54" i="4" s="1"/>
  <c r="N62" i="4"/>
  <c r="O62" i="4" s="1"/>
  <c r="B26" i="2"/>
  <c r="B42" i="2"/>
  <c r="B58" i="2"/>
  <c r="B74" i="2"/>
  <c r="L39" i="4"/>
  <c r="N45" i="4"/>
  <c r="O45" i="4" s="1"/>
  <c r="L47" i="4"/>
  <c r="N53" i="4"/>
  <c r="O53" i="4" s="1"/>
  <c r="L55" i="4"/>
  <c r="N61" i="4"/>
  <c r="O61" i="4" s="1"/>
  <c r="L63" i="4"/>
  <c r="B33" i="2"/>
  <c r="B49" i="2"/>
  <c r="B65" i="2"/>
  <c r="L38" i="4"/>
  <c r="N44" i="4"/>
  <c r="O44" i="4" s="1"/>
  <c r="L46" i="4"/>
  <c r="N52" i="4"/>
  <c r="O52" i="4" s="1"/>
  <c r="L54" i="4"/>
  <c r="N60" i="4"/>
  <c r="O60" i="4" s="1"/>
  <c r="L62" i="4"/>
  <c r="B38" i="2"/>
  <c r="B54" i="2"/>
  <c r="B70" i="2"/>
  <c r="L45" i="4"/>
  <c r="N51" i="4"/>
  <c r="O51" i="4" s="1"/>
  <c r="L53" i="4"/>
  <c r="N59" i="4"/>
  <c r="O59" i="4" s="1"/>
  <c r="L61" i="4"/>
  <c r="B36" i="2"/>
  <c r="B52" i="2"/>
  <c r="N36" i="4"/>
  <c r="O36" i="4" s="1"/>
  <c r="B27" i="5"/>
  <c r="D27" i="5" s="1"/>
  <c r="C24" i="5"/>
  <c r="B24" i="5"/>
  <c r="D24" i="5" s="1"/>
  <c r="C26" i="5"/>
  <c r="B21" i="5"/>
  <c r="D21" i="5" s="1"/>
  <c r="B75" i="2"/>
  <c r="B67" i="2"/>
  <c r="B59" i="2"/>
  <c r="B51" i="2"/>
  <c r="B43" i="2"/>
  <c r="B35" i="2"/>
  <c r="B27" i="2"/>
  <c r="B26" i="5"/>
  <c r="D26" i="5" s="1"/>
  <c r="C23" i="5"/>
  <c r="C28" i="5"/>
  <c r="B23" i="5"/>
  <c r="D23" i="5" s="1"/>
  <c r="B69" i="2"/>
  <c r="B61" i="2"/>
  <c r="B53" i="2"/>
  <c r="B45" i="2"/>
  <c r="B37" i="2"/>
  <c r="B29" i="2"/>
  <c r="B28" i="5"/>
  <c r="D28" i="5" s="1"/>
  <c r="C25" i="5"/>
  <c r="B20" i="5"/>
  <c r="D20" i="5" s="1"/>
  <c r="B25" i="5"/>
  <c r="D25" i="5" s="1"/>
  <c r="B71" i="2"/>
  <c r="B63" i="2"/>
  <c r="B55" i="2"/>
  <c r="B47" i="2"/>
  <c r="B39" i="2"/>
  <c r="B31" i="2"/>
  <c r="B23" i="2"/>
  <c r="C27" i="5"/>
  <c r="B22" i="5"/>
  <c r="D22" i="5" s="1"/>
  <c r="B72" i="2"/>
  <c r="B64" i="2"/>
  <c r="B56" i="2"/>
  <c r="B48" i="2"/>
  <c r="B40" i="2"/>
  <c r="B32" i="2"/>
  <c r="B24" i="2"/>
  <c r="L44" i="4"/>
  <c r="N50" i="4"/>
  <c r="O50" i="4" s="1"/>
  <c r="L60" i="4"/>
  <c r="L70" i="4"/>
  <c r="H8" i="2"/>
  <c r="H16" i="2"/>
  <c r="B34" i="2"/>
  <c r="B50" i="2"/>
  <c r="B66" i="2"/>
  <c r="N35" i="4"/>
  <c r="O35" i="4" s="1"/>
  <c r="L36" i="4"/>
  <c r="N42" i="4"/>
  <c r="O42" i="4" s="1"/>
  <c r="L52" i="4"/>
  <c r="N58" i="4"/>
  <c r="O58" i="4" s="1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N41" i="4"/>
  <c r="O41" i="4" s="1"/>
  <c r="N49" i="4"/>
  <c r="O49" i="4" s="1"/>
  <c r="L51" i="4"/>
  <c r="N57" i="4"/>
  <c r="O57" i="4" s="1"/>
  <c r="L59" i="4"/>
  <c r="N65" i="4"/>
  <c r="O65" i="4" s="1"/>
  <c r="L68" i="4"/>
  <c r="B25" i="2"/>
  <c r="B41" i="2"/>
  <c r="B57" i="2"/>
  <c r="B73" i="2"/>
  <c r="L37" i="4"/>
  <c r="N43" i="4"/>
  <c r="O43" i="4" s="1"/>
  <c r="N40" i="4"/>
  <c r="O40" i="4" s="1"/>
  <c r="L42" i="4"/>
  <c r="N48" i="4"/>
  <c r="O48" i="4" s="1"/>
  <c r="L50" i="4"/>
  <c r="N56" i="4"/>
  <c r="O56" i="4" s="1"/>
  <c r="L58" i="4"/>
  <c r="N64" i="4"/>
  <c r="O64" i="4" s="1"/>
  <c r="G10" i="2"/>
  <c r="H10" i="2" s="1"/>
  <c r="B30" i="2"/>
  <c r="B46" i="2"/>
  <c r="B62" i="2"/>
  <c r="N13" i="4"/>
  <c r="O13" i="4" s="1"/>
  <c r="N39" i="4"/>
  <c r="O39" i="4" s="1"/>
  <c r="L49" i="4"/>
  <c r="N55" i="4"/>
  <c r="O55" i="4" s="1"/>
  <c r="L65" i="4"/>
  <c r="G17" i="2"/>
  <c r="H17" i="2" s="1"/>
  <c r="B28" i="2"/>
  <c r="B44" i="2"/>
  <c r="B60" i="2"/>
  <c r="B4" i="6"/>
  <c r="B4" i="5"/>
  <c r="M84" i="4" l="1"/>
  <c r="M83" i="4"/>
  <c r="M88" i="4"/>
  <c r="G87" i="4"/>
  <c r="M87" i="4"/>
  <c r="G86" i="4"/>
  <c r="M86" i="4"/>
  <c r="M80" i="4"/>
  <c r="G80" i="4"/>
  <c r="M79" i="4"/>
  <c r="G79" i="4"/>
  <c r="M78" i="4"/>
  <c r="G78" i="4"/>
  <c r="M77" i="4"/>
  <c r="G77" i="4"/>
  <c r="M76" i="4"/>
  <c r="G76" i="4"/>
  <c r="M73" i="4"/>
  <c r="G73" i="4"/>
  <c r="G82" i="4"/>
  <c r="M82" i="4"/>
  <c r="G81" i="4"/>
  <c r="M81" i="4"/>
  <c r="M72" i="4"/>
  <c r="G72" i="4"/>
  <c r="G69" i="4"/>
  <c r="G75" i="4"/>
  <c r="M75" i="4"/>
  <c r="G74" i="4"/>
  <c r="M74" i="4"/>
  <c r="M67" i="4"/>
  <c r="G48" i="4"/>
  <c r="M40" i="4"/>
  <c r="H15" i="2"/>
  <c r="M66" i="4"/>
  <c r="G71" i="4"/>
  <c r="M71" i="4"/>
  <c r="M64" i="4"/>
  <c r="D68" i="2"/>
  <c r="H12" i="2"/>
  <c r="G43" i="4"/>
  <c r="E68" i="2"/>
  <c r="F68" i="2" s="1"/>
  <c r="M56" i="4"/>
  <c r="C28" i="2"/>
  <c r="E28" i="2"/>
  <c r="F28" i="2" s="1"/>
  <c r="D28" i="2"/>
  <c r="M51" i="4"/>
  <c r="G51" i="4"/>
  <c r="G30" i="4"/>
  <c r="M30" i="4"/>
  <c r="M14" i="4"/>
  <c r="G14" i="4"/>
  <c r="E24" i="2"/>
  <c r="F24" i="2" s="1"/>
  <c r="C24" i="2"/>
  <c r="D24" i="2"/>
  <c r="E27" i="2"/>
  <c r="F27" i="2" s="1"/>
  <c r="D27" i="2"/>
  <c r="C27" i="2"/>
  <c r="D61" i="2"/>
  <c r="E61" i="2"/>
  <c r="F61" i="2" s="1"/>
  <c r="C61" i="2"/>
  <c r="G55" i="4"/>
  <c r="M55" i="4"/>
  <c r="G42" i="4"/>
  <c r="M42" i="4"/>
  <c r="G28" i="4"/>
  <c r="M28" i="4"/>
  <c r="E40" i="2"/>
  <c r="F40" i="2" s="1"/>
  <c r="C40" i="2"/>
  <c r="D40" i="2"/>
  <c r="E43" i="2"/>
  <c r="F43" i="2" s="1"/>
  <c r="D43" i="2"/>
  <c r="C43" i="2"/>
  <c r="C60" i="2"/>
  <c r="E60" i="2"/>
  <c r="F60" i="2" s="1"/>
  <c r="D60" i="2"/>
  <c r="G58" i="4"/>
  <c r="M58" i="4"/>
  <c r="D73" i="2"/>
  <c r="C73" i="2"/>
  <c r="E73" i="2"/>
  <c r="F73" i="2" s="1"/>
  <c r="M59" i="4"/>
  <c r="G59" i="4"/>
  <c r="G32" i="4"/>
  <c r="M32" i="4"/>
  <c r="G24" i="4"/>
  <c r="M24" i="4"/>
  <c r="M16" i="4"/>
  <c r="G16" i="4"/>
  <c r="E72" i="2"/>
  <c r="F72" i="2" s="1"/>
  <c r="C72" i="2"/>
  <c r="D72" i="2"/>
  <c r="D63" i="2"/>
  <c r="E63" i="2"/>
  <c r="F63" i="2" s="1"/>
  <c r="C63" i="2"/>
  <c r="D37" i="2"/>
  <c r="C37" i="2"/>
  <c r="E37" i="2"/>
  <c r="F37" i="2" s="1"/>
  <c r="E75" i="2"/>
  <c r="F75" i="2" s="1"/>
  <c r="D75" i="2"/>
  <c r="C75" i="2"/>
  <c r="C52" i="2"/>
  <c r="E52" i="2"/>
  <c r="F52" i="2" s="1"/>
  <c r="M45" i="4"/>
  <c r="G45" i="4"/>
  <c r="G54" i="4"/>
  <c r="M54" i="4"/>
  <c r="E74" i="2"/>
  <c r="F74" i="2" s="1"/>
  <c r="D74" i="2"/>
  <c r="C74" i="2"/>
  <c r="D57" i="2"/>
  <c r="C57" i="2"/>
  <c r="E57" i="2"/>
  <c r="F57" i="2" s="1"/>
  <c r="M23" i="4"/>
  <c r="G23" i="4"/>
  <c r="D71" i="2"/>
  <c r="E71" i="2"/>
  <c r="F71" i="2" s="1"/>
  <c r="C71" i="2"/>
  <c r="C36" i="2"/>
  <c r="E36" i="2"/>
  <c r="F36" i="2" s="1"/>
  <c r="D36" i="2"/>
  <c r="E70" i="2"/>
  <c r="F70" i="2" s="1"/>
  <c r="C70" i="2"/>
  <c r="D70" i="2"/>
  <c r="G63" i="4"/>
  <c r="M63" i="4"/>
  <c r="E58" i="2"/>
  <c r="F58" i="2" s="1"/>
  <c r="D58" i="2"/>
  <c r="C58" i="2"/>
  <c r="G68" i="2"/>
  <c r="H68" i="2"/>
  <c r="M44" i="4"/>
  <c r="G44" i="4"/>
  <c r="M50" i="4"/>
  <c r="G50" i="4"/>
  <c r="G22" i="4"/>
  <c r="M22" i="4"/>
  <c r="E54" i="2"/>
  <c r="F54" i="2" s="1"/>
  <c r="C54" i="2"/>
  <c r="D54" i="2"/>
  <c r="M46" i="4"/>
  <c r="G46" i="4"/>
  <c r="E42" i="2"/>
  <c r="F42" i="2" s="1"/>
  <c r="D42" i="2"/>
  <c r="C42" i="2"/>
  <c r="G57" i="4"/>
  <c r="M57" i="4"/>
  <c r="E32" i="2"/>
  <c r="F32" i="2" s="1"/>
  <c r="C32" i="2"/>
  <c r="D32" i="2"/>
  <c r="M20" i="4"/>
  <c r="G20" i="4"/>
  <c r="C14" i="2"/>
  <c r="C44" i="2"/>
  <c r="E44" i="2"/>
  <c r="F44" i="2" s="1"/>
  <c r="D44" i="2"/>
  <c r="E62" i="2"/>
  <c r="F62" i="2" s="1"/>
  <c r="C62" i="2"/>
  <c r="D62" i="2"/>
  <c r="E50" i="2"/>
  <c r="F50" i="2" s="1"/>
  <c r="C50" i="2"/>
  <c r="D53" i="2"/>
  <c r="C53" i="2"/>
  <c r="E53" i="2"/>
  <c r="F53" i="2" s="1"/>
  <c r="E46" i="2"/>
  <c r="F46" i="2" s="1"/>
  <c r="C46" i="2"/>
  <c r="D46" i="2"/>
  <c r="D25" i="2"/>
  <c r="C25" i="2"/>
  <c r="E25" i="2"/>
  <c r="F25" i="2" s="1"/>
  <c r="E34" i="2"/>
  <c r="F34" i="2" s="1"/>
  <c r="D34" i="2"/>
  <c r="C34" i="2"/>
  <c r="E35" i="2"/>
  <c r="F35" i="2" s="1"/>
  <c r="D35" i="2"/>
  <c r="C35" i="2"/>
  <c r="E30" i="2"/>
  <c r="F30" i="2" s="1"/>
  <c r="C30" i="2"/>
  <c r="D30" i="2"/>
  <c r="D69" i="2"/>
  <c r="C69" i="2"/>
  <c r="E69" i="2"/>
  <c r="F69" i="2" s="1"/>
  <c r="G38" i="4"/>
  <c r="M38" i="4"/>
  <c r="G65" i="4"/>
  <c r="M65" i="4"/>
  <c r="G35" i="4"/>
  <c r="M35" i="4"/>
  <c r="M27" i="4"/>
  <c r="G27" i="4"/>
  <c r="G19" i="4"/>
  <c r="M19" i="4"/>
  <c r="M52" i="4"/>
  <c r="G52" i="4"/>
  <c r="E48" i="2"/>
  <c r="F48" i="2" s="1"/>
  <c r="C48" i="2"/>
  <c r="D39" i="2"/>
  <c r="E39" i="2"/>
  <c r="F39" i="2" s="1"/>
  <c r="C39" i="2"/>
  <c r="E51" i="2"/>
  <c r="F51" i="2" s="1"/>
  <c r="C51" i="2"/>
  <c r="D65" i="2"/>
  <c r="C65" i="2"/>
  <c r="E65" i="2"/>
  <c r="F65" i="2" s="1"/>
  <c r="G47" i="4"/>
  <c r="M47" i="4"/>
  <c r="E66" i="2"/>
  <c r="F66" i="2" s="1"/>
  <c r="D66" i="2"/>
  <c r="C66" i="2"/>
  <c r="E26" i="2"/>
  <c r="F26" i="2" s="1"/>
  <c r="D26" i="2"/>
  <c r="C26" i="2"/>
  <c r="M68" i="4"/>
  <c r="G68" i="4"/>
  <c r="G34" i="4"/>
  <c r="M34" i="4"/>
  <c r="G26" i="4"/>
  <c r="M26" i="4"/>
  <c r="G18" i="4"/>
  <c r="M18" i="4"/>
  <c r="M70" i="4"/>
  <c r="G70" i="4"/>
  <c r="E56" i="2"/>
  <c r="F56" i="2" s="1"/>
  <c r="C56" i="2"/>
  <c r="D56" i="2"/>
  <c r="E47" i="2"/>
  <c r="F47" i="2" s="1"/>
  <c r="C47" i="2"/>
  <c r="E59" i="2"/>
  <c r="F59" i="2" s="1"/>
  <c r="D59" i="2"/>
  <c r="C59" i="2"/>
  <c r="M53" i="4"/>
  <c r="G53" i="4"/>
  <c r="M62" i="4"/>
  <c r="G62" i="4"/>
  <c r="C49" i="2"/>
  <c r="E49" i="2"/>
  <c r="F49" i="2" s="1"/>
  <c r="G31" i="4"/>
  <c r="M31" i="4"/>
  <c r="G15" i="4"/>
  <c r="M15" i="4"/>
  <c r="D45" i="2"/>
  <c r="E45" i="2"/>
  <c r="F45" i="2" s="1"/>
  <c r="C45" i="2"/>
  <c r="D41" i="2"/>
  <c r="C41" i="2"/>
  <c r="E41" i="2"/>
  <c r="F41" i="2" s="1"/>
  <c r="G29" i="4"/>
  <c r="M29" i="4"/>
  <c r="G21" i="4"/>
  <c r="M21" i="4"/>
  <c r="C13" i="2"/>
  <c r="G13" i="4"/>
  <c r="M13" i="4"/>
  <c r="D23" i="2"/>
  <c r="E23" i="2"/>
  <c r="F23" i="2" s="1"/>
  <c r="C23" i="2"/>
  <c r="E38" i="2"/>
  <c r="F38" i="2" s="1"/>
  <c r="C38" i="2"/>
  <c r="D38" i="2"/>
  <c r="D31" i="2"/>
  <c r="E31" i="2"/>
  <c r="F31" i="2" s="1"/>
  <c r="C31" i="2"/>
  <c r="M61" i="4"/>
  <c r="G61" i="4"/>
  <c r="G41" i="4"/>
  <c r="M41" i="4"/>
  <c r="G49" i="4"/>
  <c r="M49" i="4"/>
  <c r="M37" i="4"/>
  <c r="G37" i="4"/>
  <c r="G33" i="4"/>
  <c r="M33" i="4"/>
  <c r="G25" i="4"/>
  <c r="M25" i="4"/>
  <c r="G17" i="4"/>
  <c r="M17" i="4"/>
  <c r="M36" i="4"/>
  <c r="G36" i="4"/>
  <c r="M60" i="4"/>
  <c r="G60" i="4"/>
  <c r="E64" i="2"/>
  <c r="F64" i="2" s="1"/>
  <c r="C64" i="2"/>
  <c r="D64" i="2"/>
  <c r="D55" i="2"/>
  <c r="E55" i="2"/>
  <c r="F55" i="2" s="1"/>
  <c r="C55" i="2"/>
  <c r="D29" i="2"/>
  <c r="E29" i="2"/>
  <c r="F29" i="2" s="1"/>
  <c r="C29" i="2"/>
  <c r="E67" i="2"/>
  <c r="F67" i="2" s="1"/>
  <c r="D67" i="2"/>
  <c r="C67" i="2"/>
  <c r="D33" i="2"/>
  <c r="C33" i="2"/>
  <c r="E33" i="2"/>
  <c r="F33" i="2" s="1"/>
  <c r="G39" i="4"/>
  <c r="M39" i="4"/>
  <c r="D52" i="2" l="1"/>
  <c r="D47" i="2"/>
  <c r="D14" i="2"/>
  <c r="D48" i="2"/>
  <c r="C22" i="5"/>
  <c r="D51" i="2"/>
  <c r="D49" i="2"/>
  <c r="D50" i="2"/>
  <c r="G66" i="2"/>
  <c r="H66" i="2"/>
  <c r="H67" i="2"/>
  <c r="G67" i="2"/>
  <c r="E5" i="4"/>
  <c r="B6" i="5" s="1"/>
  <c r="C20" i="5"/>
  <c r="H39" i="2"/>
  <c r="G39" i="2"/>
  <c r="H35" i="2"/>
  <c r="G35" i="2"/>
  <c r="G14" i="2"/>
  <c r="H14" i="2" s="1"/>
  <c r="G72" i="2"/>
  <c r="H72" i="2"/>
  <c r="H45" i="2"/>
  <c r="G45" i="2"/>
  <c r="G42" i="2"/>
  <c r="H42" i="2"/>
  <c r="G58" i="2"/>
  <c r="H58" i="2"/>
  <c r="G60" i="2"/>
  <c r="H60" i="2"/>
  <c r="H27" i="2"/>
  <c r="G27" i="2"/>
  <c r="G13" i="2"/>
  <c r="H13" i="2" s="1"/>
  <c r="G64" i="2"/>
  <c r="H64" i="2"/>
  <c r="G26" i="2"/>
  <c r="H26" i="2"/>
  <c r="H46" i="2"/>
  <c r="G46" i="2"/>
  <c r="H57" i="2"/>
  <c r="G57" i="2"/>
  <c r="H37" i="2"/>
  <c r="G37" i="2"/>
  <c r="H43" i="2"/>
  <c r="G43" i="2"/>
  <c r="G34" i="2"/>
  <c r="H34" i="2"/>
  <c r="H62" i="2"/>
  <c r="G62" i="2"/>
  <c r="G36" i="2"/>
  <c r="H36" i="2"/>
  <c r="H73" i="2"/>
  <c r="G73" i="2"/>
  <c r="C21" i="5"/>
  <c r="H38" i="2"/>
  <c r="G38" i="2"/>
  <c r="H65" i="2"/>
  <c r="G65" i="2"/>
  <c r="H23" i="2"/>
  <c r="G23" i="2"/>
  <c r="G48" i="2"/>
  <c r="H48" i="2"/>
  <c r="G32" i="2"/>
  <c r="H32" i="2"/>
  <c r="H71" i="2"/>
  <c r="G71" i="2"/>
  <c r="G74" i="2"/>
  <c r="H74" i="2"/>
  <c r="H63" i="2"/>
  <c r="G63" i="2"/>
  <c r="H53" i="2"/>
  <c r="G53" i="2"/>
  <c r="G52" i="2"/>
  <c r="H52" i="2" s="1"/>
  <c r="G24" i="2"/>
  <c r="H24" i="2"/>
  <c r="H31" i="2"/>
  <c r="G31" i="2"/>
  <c r="G56" i="2"/>
  <c r="H56" i="2"/>
  <c r="H30" i="2"/>
  <c r="G30" i="2"/>
  <c r="H75" i="2"/>
  <c r="G75" i="2"/>
  <c r="G40" i="2"/>
  <c r="H40" i="2"/>
  <c r="H61" i="2"/>
  <c r="G61" i="2"/>
  <c r="G49" i="2"/>
  <c r="H49" i="2" s="1"/>
  <c r="G47" i="2"/>
  <c r="H47" i="2" s="1"/>
  <c r="H29" i="2"/>
  <c r="G29" i="2"/>
  <c r="H69" i="2"/>
  <c r="G69" i="2"/>
  <c r="G51" i="2"/>
  <c r="H51" i="2" s="1"/>
  <c r="H33" i="2"/>
  <c r="G33" i="2"/>
  <c r="H55" i="2"/>
  <c r="G55" i="2"/>
  <c r="D13" i="2"/>
  <c r="H41" i="2"/>
  <c r="G41" i="2"/>
  <c r="H59" i="2"/>
  <c r="G59" i="2"/>
  <c r="H25" i="2"/>
  <c r="G25" i="2"/>
  <c r="G50" i="2"/>
  <c r="H50" i="2" s="1"/>
  <c r="G44" i="2"/>
  <c r="H44" i="2"/>
  <c r="H54" i="2"/>
  <c r="G54" i="2"/>
  <c r="H70" i="2"/>
  <c r="G70" i="2"/>
  <c r="G28" i="2"/>
  <c r="H28" i="2"/>
</calcChain>
</file>

<file path=xl/sharedStrings.xml><?xml version="1.0" encoding="utf-8"?>
<sst xmlns="http://schemas.openxmlformats.org/spreadsheetml/2006/main" count="487" uniqueCount="269">
  <si>
    <t>Datenbasis</t>
  </si>
  <si>
    <t>Interne Arbeitsdaten für Auswertung und Tätigkeitsschein. Roberts Screenshot wird aus dem Blatt Zeiterfassung erstellt.</t>
  </si>
  <si>
    <t>Monat</t>
  </si>
  <si>
    <t>Stundensatz</t>
  </si>
  <si>
    <t>Monatsstunden</t>
  </si>
  <si>
    <t>Monatsbetrag</t>
  </si>
  <si>
    <t>Aktuelle KW</t>
  </si>
  <si>
    <t>KW-Start</t>
  </si>
  <si>
    <t>Gebucht (Std.)</t>
  </si>
  <si>
    <t>Budget (Std.)</t>
  </si>
  <si>
    <t>Offen/Überstunden (Std.)</t>
  </si>
  <si>
    <t>Anzeige aktualisiert sich beim Öffnen/Neuberechnen der Datei; KW-Budget steht in Einstellungen!B15. Negative Werte in K5 sind Überstunden.</t>
  </si>
  <si>
    <t>Datum</t>
  </si>
  <si>
    <t>Bereich</t>
  </si>
  <si>
    <t>Aufgabe kurz</t>
  </si>
  <si>
    <t>Tätigkeit</t>
  </si>
  <si>
    <t>Zeit (Std.)</t>
  </si>
  <si>
    <t>Betrag</t>
  </si>
  <si>
    <t>KW</t>
  </si>
  <si>
    <t>Kategorie</t>
  </si>
  <si>
    <t>Status</t>
  </si>
  <si>
    <t>Abrechenbar (Std.)</t>
  </si>
  <si>
    <t>Überstunden (Std.)</t>
  </si>
  <si>
    <t>KW-Gesamt (Std.)</t>
  </si>
  <si>
    <t>KW-Offen/Über (Std.)</t>
  </si>
  <si>
    <t>QR Code</t>
  </si>
  <si>
    <t>Prozess-Refresh, Toolmarkt und Build-Option</t>
  </si>
  <si>
    <t>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</si>
  <si>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Analyse / Recherche</t>
  </si>
  <si>
    <t>Abgeschlossen</t>
  </si>
  <si>
    <t>Technisches Setup</t>
  </si>
  <si>
    <t>Accounts, Mail und Arbeitsumgebung</t>
  </si>
  <si>
    <t>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</si>
  <si>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Setup / Administration</t>
  </si>
  <si>
    <t>Technisches Setup und Stack-Vorauswahl</t>
  </si>
  <si>
    <t>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</si>
  <si>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Technische Konzeption</t>
  </si>
  <si>
    <t>Asana / Monday</t>
  </si>
  <si>
    <t>Projektplan Migration Monday zu Asana</t>
  </si>
  <si>
    <t>Aufsetzen eines ersten Projektplan-Rahmens für die Ablösung von Monday durch Asana inklusive erster Sichtung der Asana Features.</t>
  </si>
  <si>
    <t>Projektplanung</t>
  </si>
  <si>
    <t>Initial</t>
  </si>
  <si>
    <t>Board- und Prozessanalyse</t>
  </si>
  <si>
    <t>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</si>
  <si>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Toolvergleich und Build-Abgleich</t>
  </si>
  <si>
    <t>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</si>
  <si>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Gegenüberstellung prüfen, ergänzen und aufbereiten</t>
  </si>
  <si>
    <t>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</si>
  <si>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Leistungsbeschreibung Short.io-Anfrage</t>
  </si>
  <si>
    <t>Ausarbeitung einer strukturierten Leistungsbeschreibung für die geplante Short.io-Anfrage einschließlich fachlicher Anforderungen, relevanter Rahmenbedingungen und prüffähiger Anfrageinhalte als Grundlage für die weitere Anbieterabstimmung.</t>
  </si>
  <si>
    <t>Studie 2027</t>
  </si>
  <si>
    <t>Abstimmung Testvarianten Studienkonzept</t>
  </si>
  <si>
    <t>Abstimmung mit Jule, Simone und Cathleen zur Konzeption und Einordnung der vier vorgesehenen Testvarianten; Klärung zentraler Anforderungen, Variantenlogik und nächster Schritte für die weitere Studienplanung.</t>
  </si>
  <si>
    <t>Einarbeitung Methodik und Studienunterlagen</t>
  </si>
  <si>
    <t>Einarbeitung in das Studienthema, Recherche und fachliche Einordnung der verwendeten Methoden sowie Durcharbeitung der vorhandenen Präsentationsunterlagen zur Vorbereitung der weiteren konzeptionellen und inhaltlichen Ausarbeitung.</t>
  </si>
  <si>
    <t>Briefing Präsentationsausarbeitung</t>
  </si>
  <si>
    <t>Erstellung und Strukturierung eines Briefings für Cathleen zur weiteren Bearbeitung der Präsentation, inklusive Zusammenfassung relevanter Inhalte und Anforderungen für die nächste Ausarbeitungsschleife.</t>
  </si>
  <si>
    <t>Finalisierung Briefing und Visualisierungstexte</t>
  </si>
  <si>
    <t>Finalisierung des Briefings für Cathleen sowie Ausarbeitung und Präzisierung von Textvorschlägen und Visualisierungsansätzen für die Studienpräsentation.</t>
  </si>
  <si>
    <t>Anfrage POSTWURFSPEZIAL</t>
  </si>
  <si>
    <t>Vorbereitung und Formulierung der Anfrage zu POSTWURFSPEZIAL unter Berücksichtigung der für die Studienumsetzung relevanten Anforderungen und Abstimmungsbedarfe.</t>
  </si>
  <si>
    <t>Ist-/Soll-Analyse Studienmailing</t>
  </si>
  <si>
    <t>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</si>
  <si>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Klärung Pre-Test-Vorgehen</t>
  </si>
  <si>
    <t>Klärung des geplanten Pre-Test-Vorgehens mit dem Team, einschließlich Abstimmung offener Punkte und Einordnung der nächsten Schritte für die weitere Studienvorbereitung.</t>
  </si>
  <si>
    <t>Statusabfrage und Arbeitspaket-Update</t>
  </si>
  <si>
    <t>Einholung aktueller Statusinformationen und Aktualisierung der Arbeitspakete bis zum 03.07.; Strukturierung der offenen Punkte und Nachverfolgung relevanter Zuständigkeiten.</t>
  </si>
  <si>
    <t>Testskript und Zusammenfassung</t>
  </si>
  <si>
    <t>Erstellung eines Skripts und Zusammenfassung der Inhalte als Testfassung für Jule und Simone, einschließlich Aufbereitung der relevanten Punkte für Prüfung, Feedback und weitere Abstimmung.</t>
  </si>
  <si>
    <t>Vor-/Nachbereitung Christina-Abstimmung</t>
  </si>
  <si>
    <t>Vor- und Nachbereitung der Abstimmung mit Christina einschließlich Terminabgleich, Strukturierung relevanter Inhalte und Ableitung der nächsten Schritte für die weitere Studien- und Präsentationsarbeit.</t>
  </si>
  <si>
    <t>Pre-Test-Abstimmung Lone/Lisa</t>
  </si>
  <si>
    <t>Abstimmung mit Lone und Lisa zum Pre-Test sowie zum Stand der bis Freitag vorgesehenen To-dos; Klärung offener Punkte, Zuständigkeiten und nächster Schritte.</t>
  </si>
  <si>
    <t>Review Präsentationsüberarbeitung</t>
  </si>
  <si>
    <t>Review der von Cathleen überarbeiteten Präsentation; Prüfung der inhaltlichen Anpassungen und Ableitung relevanter Rückmeldungen für die weitere Finalisierung.</t>
  </si>
  <si>
    <t>Status-Update und Rücksprachen</t>
  </si>
  <si>
    <t>Einholung und Aufbereitung aktueller Status-Updates; Sichtung der vorliegenden Ergebnisse sowie Durchführung notwendiger Rücksprachen zur weiteren Koordination.</t>
  </si>
  <si>
    <t>Auswertung InDesign-Skripttest</t>
  </si>
  <si>
    <t>Auswertung des Testlaufs des InDesign-Skripts; Prüfung der Ergebnisse und Identifikation relevanter Punkte für die nächste technische Überarbeitung.</t>
  </si>
  <si>
    <t>Skripttest-Zusammenfassung und Vorbereitung</t>
  </si>
  <si>
    <t>Zusammenfassung der Ergebnisse des Skripttests und Vorbereitung des nächsten Skripttests einschließlich Strukturierung der offenen Prüf- und Anpassungspunkte.</t>
  </si>
  <si>
    <t>Angebotsanfrage Neukundenmodul</t>
  </si>
  <si>
    <t>Rückmeldung an Christina mit Bitte um ein Angebot für das Neukundenmodul; Präzisierung des Abstimmungsbedarfs und Vorbereitung der weiteren Entscheidungsgrundlage.</t>
  </si>
  <si>
    <t>Projektplan-Update und Lizenzkoordination</t>
  </si>
  <si>
    <t>Aktualisierung des Projektplans anhand der Rückmeldungen von Robert; Kommunikation der neuen Aufgaben und erwarteten Outcomes an die Beteiligten sowie Beauftragung der benötigten InDesign-Lizenz.</t>
  </si>
  <si>
    <t>KI-gestützte Varianten- und Partnerdatenverarbeitung</t>
  </si>
  <si>
    <t>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</si>
  <si>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Einweisung KI-/InDesign-Prozess</t>
  </si>
  <si>
    <t>Call mit Simone zur Erklärung des KI-gestützten Prozesses, Einführung in die InDesign-Anforderungen sowie Abstimmung zur Benennung der Felder und Befüllung der Excel-Vorlage.</t>
  </si>
  <si>
    <t>Teamabstimmung Status und Herausforderungen</t>
  </si>
  <si>
    <t>Abstimmungen mit Jule, Cathleen und Simone zu aktuellen Herausforderungen, Statusständen und nächsten Schritten; ergänzende Rückmeldung an Christina.</t>
  </si>
  <si>
    <t>Weiterentwicklung KI-/InDesign-Automatisierung</t>
  </si>
  <si>
    <t>Weiterarbeit an der KI-gestützten Lösung zur Variantenaufbereitung und automatisierten Auswertung von Partnerdaten; Weiterentwicklung des InDesign-Skripts für den nächsten Testlauf.</t>
  </si>
  <si>
    <t>Review und Weitergabe Präsentation</t>
  </si>
  <si>
    <t>Review der von Cathleen überarbeiteten Präsentation; Prüfung der inhaltlichen Anpassungen und Weitergabe relevanter Rückmeldungen für die weitere Bearbeitung.</t>
  </si>
  <si>
    <t>Auswertung Test A Variante + Anpassung Kript + Absprachen und Statusupdate</t>
  </si>
  <si>
    <t>Anpassung des Skriptes anhand der Variablen Liste für alle 4 Varianten + Anpassung, dass Bilder eingelesen und eingespielt werden + Definition und Kommunikation des nächsten Test für alle 4 Varianten</t>
  </si>
  <si>
    <t>Vorbereitung Ende zu Ende Test für Shabe Labs mit aufbereitung der Daten, Erstellen des Skriptes und Definiton der Testmessung</t>
  </si>
  <si>
    <t>Absprache Simone Durchführung End zu Ende Test</t>
  </si>
  <si>
    <t>Auswertung erneuter Skripttest + Anpassung Skript für Test 2 alle Varianten mit Vorder und Rückseite</t>
  </si>
  <si>
    <t>Auswertung erneuter Skripttest 2 + Anpassung Skript + Anpassung Shape Labs Testpaket</t>
  </si>
  <si>
    <t>Begleitung End zu Ende Test mit Auswertung des Standes und Statusupdate</t>
  </si>
  <si>
    <t>Studie 2027: Debrief mit Simone und Jule zum bisherigen Teststand; Sammlung offener Punkte und Einordnung der nächsten Arbeitsschritte.</t>
  </si>
  <si>
    <t>Studie 2027: Erstellung eines neuen Testpakets auf Basis des Debriefings sowie Weiterentwicklung des JSON-Builder-Tools für Jule und Simone, inklusive Prüfchecks und E-Mail-Output.</t>
  </si>
  <si>
    <t>Studie 2027: Kommunikation der nächsten Schritte an Jule und Simone, Auswertung der Testlaufzeiten sowie Aufbereitung eines Status-Updates zur Studie 2027.</t>
  </si>
  <si>
    <t>Studie 2027: Weiterentwicklung des JSON-Builder-Tools einschließlich Fehlerbehebung, zusätzlicher Prüfungen und optischer Optimierung; weitere Skriptoptimierung und Vorbereitung einer neuen Testrunde.</t>
  </si>
  <si>
    <t>Studie 2027: Auswertung des JSON-Builder- und Bildertests, Einarbeitung weiterer Anmerkungen sowie Zusammenstellung eines Testpakets für Simone.</t>
  </si>
  <si>
    <t>Studie 2027: Abstimmung mit Robert sowie Zusammenfassung relevanter Punkte und nächster Schritte.</t>
  </si>
  <si>
    <t>Studie 2027: Debrief mit Simone zum letzten Testlauf, Klärung offener Fragen und Ableitung weiterer Anpassungsbedarfe.</t>
  </si>
  <si>
    <t>Studie 2027: Einarbeitung in die Sales-Präsentation und Beginn der Erstellung eines Briefings für die weitere Ausarbeitung.</t>
  </si>
  <si>
    <t>Studie 2027: Überarbeitung des JSON-Builders anhand von Simones Feedback sowie Vorbereitung einer erneuten Testrunde.</t>
  </si>
  <si>
    <t>Studie 2027: Fertigstellung des Sales-Präsentationsbriefings unter Einbindung des Inputs von Maria und Lisa.</t>
  </si>
  <si>
    <t>Studie 2027: Abstimmung mit Simone zur Durchführung des Ende-zu-Ende-Tests sowie Debrief zum letzten Testlauf.</t>
  </si>
  <si>
    <t>Studie 2027: Überarbeitung des JSON-Builders anhand von Simones Feedback, Vorbereitung einer erneuten Testrunde und Aufbau eines KI-Text-Builders.</t>
  </si>
  <si>
    <t>Studie 2027: Review des aktuellen Stands der Sales-Präsentation und Weitergabe strukturierter Rückmeldungen an Cathleen.</t>
  </si>
  <si>
    <t>Studie 2027: Status-Update zur KI-Automatisierung und Einordnung der nächsten technischen Schritte.</t>
  </si>
  <si>
    <t>Studie 2027: Weekly Call mit Deutsche Post inklusive Vor- und Nachbereitung sowie Abstimmung mit Cathleen.</t>
  </si>
  <si>
    <t>Vorbereitung Weekly, aktueller Stand etc  und Einarbeitung OKRs</t>
  </si>
  <si>
    <t>Erstellung einer Prozessbeschreibung</t>
  </si>
  <si>
    <t>PM Tool</t>
  </si>
  <si>
    <t>Erstellen Leistungsbeschreibung PM Tool und Shortlist der Anbieter + Matrix</t>
  </si>
  <si>
    <t>Aufgabe</t>
  </si>
  <si>
    <t>Arbeitszeit
(Stunden)</t>
  </si>
  <si>
    <t>KW 28 (06.07.–12.07.2026)</t>
  </si>
  <si>
    <t>21,55 Std.</t>
  </si>
  <si>
    <t>6. Juli 2026</t>
  </si>
  <si>
    <t>7. Juli 2026</t>
  </si>
  <si>
    <t>8. Juli 2026</t>
  </si>
  <si>
    <t>9. Juli 2026</t>
  </si>
  <si>
    <t>10. Juli 2026</t>
  </si>
  <si>
    <t>Überstunden</t>
  </si>
  <si>
    <t>Summe Stunden KW 28</t>
  </si>
  <si>
    <t>Hinweis: Stunden oberhalb des KW-Budgets von 20,00 Std. sind als Überstunden ausgewiesen und nicht abrechenbar.</t>
  </si>
  <si>
    <t>Budgetübersicht Zeit</t>
  </si>
  <si>
    <t>Budget-Eingaben</t>
  </si>
  <si>
    <t>Monatsbudget (Std.)</t>
  </si>
  <si>
    <t>KW-Budget (Std.)</t>
  </si>
  <si>
    <t>Offen (Std.)</t>
  </si>
  <si>
    <t>Stundensatz (EUR)</t>
  </si>
  <si>
    <t>Abrechenbar (EUR)</t>
  </si>
  <si>
    <t>Einstellungen</t>
  </si>
  <si>
    <t>Monat und Stundensatz hier ändern; alle Auswertungen und der Tätigkeitsschein greifen darauf zurück.</t>
  </si>
  <si>
    <t>Monat beginnt am</t>
  </si>
  <si>
    <t>Kategorie-Liste</t>
  </si>
  <si>
    <t>Status-Liste</t>
  </si>
  <si>
    <t>Monatslabel</t>
  </si>
  <si>
    <t>Auftraggeber</t>
  </si>
  <si>
    <t>Robert</t>
  </si>
  <si>
    <t>In Arbeit</t>
  </si>
  <si>
    <t>Auftragnehmer/in</t>
  </si>
  <si>
    <t>Maria</t>
  </si>
  <si>
    <t>Währung</t>
  </si>
  <si>
    <t>EUR</t>
  </si>
  <si>
    <t>Max. Tracking-Zeilen</t>
  </si>
  <si>
    <t>Umsetzung / Dokumentation</t>
  </si>
  <si>
    <t>Hinweis</t>
  </si>
  <si>
    <t>Zeiterfassung ist als Screenshot-Ansicht für Robert formatiert. Details/Kategorien liegen in der Datenbasis.</t>
  </si>
  <si>
    <t>Datei-Zweck</t>
  </si>
  <si>
    <t>Laufendes Time Tracking + monatlicher Tätigkeitsschein</t>
  </si>
  <si>
    <t>Gelbe Zellen ausfüllen; Restbudget berechnet sich automatisch.</t>
  </si>
  <si>
    <t>Auswertung</t>
  </si>
  <si>
    <t>Kurzer Plausibilitätscheck und Monatsübersicht aus der Zeiterfassung.</t>
  </si>
  <si>
    <t>Stunden</t>
  </si>
  <si>
    <t>Anteil</t>
  </si>
  <si>
    <t>Gesamtstunden</t>
  </si>
  <si>
    <t>Schonungslos ehrlicher Check</t>
  </si>
  <si>
    <t>Gesamteindruck</t>
  </si>
  <si>
    <t>10,30 Stunden für Startwoche/Analysephase sind plausibel. Der QR-Code-Anteil ist durch ein konkretes Ergebnis belegt: CMC_QR_Tool_Gegenueberstellung.xlsx plus technische Stack-Klarheit.</t>
  </si>
  <si>
    <t>QR-Code-Anteil</t>
  </si>
  <si>
    <t>7,90 Stunden QR-Code sind mit diesem Output gut begründbar: Entscheidungsmatrix, Eigenbau-vs.-Markttool-Abgleich, Volumenannahmen, Risiken, Kurzfazit, Ergänzungen und nächste Schritte sind verwertbarer Mehrwert.</t>
  </si>
  <si>
    <t>Asana/Monday</t>
  </si>
  <si>
    <t>1,65 Stunden sind für eine echte Migration zu wenig, aber als erster Projektplan plus Sichtung plausibel. Bitte nicht als vollständige Migrationsanalyse verkaufen.</t>
  </si>
  <si>
    <t>Setup-Zeit</t>
  </si>
  <si>
    <t>0,75 Stunden für Accounts/Mail ist normal und unkritisch, sollte aber nicht größer werden, wenn kein technisches Problem dahintersteht.</t>
  </si>
  <si>
    <t>Empfehlung</t>
  </si>
  <si>
    <t>Für künftige Einträge immer ein Ergebnis ergänzen: Entscheidung, verworfene Option, Nächstes To-do, Risiko oder Vereinfachung. Dann liest Robert Mehrwert statt nur Arbeitszeit.</t>
  </si>
  <si>
    <t>Monatstätigkeitsschein</t>
  </si>
  <si>
    <t>Druck-/kopierfähige Version. Die Formulierungen sind nutzenorientiert, aber auf die erfassten Tätigkeiten begrenzt.</t>
  </si>
  <si>
    <t>35,65</t>
  </si>
  <si>
    <t>85</t>
  </si>
  <si>
    <t>3.030,25 €</t>
  </si>
  <si>
    <t>Kurzfazit</t>
  </si>
  <si>
    <t>Im Juni 2026 lagen die Schwerpunkte auf QR-Code-Tool-/Build-Analyse, technischer Arbeitsfähigkeit, erster Asana/Monday-Migrationssichtung sowie der konzeptionellen und technischen Vorbereitung der CMC-Studie 2027 einschließlich Testvarianten, POSTWURFSPEZIAL-Abstimmungen und KI-/InDesign-Automatisierung.</t>
  </si>
  <si>
    <t>Zeit</t>
  </si>
  <si>
    <t>17.06.2026</t>
  </si>
  <si>
    <t>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</si>
  <si>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3,15</t>
  </si>
  <si>
    <t>18.06.2026</t>
  </si>
  <si>
    <t>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</si>
  <si>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0,75</t>
  </si>
  <si>
    <t>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</si>
  <si>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1,50</t>
  </si>
  <si>
    <t>Projektplan Migration Monday zu Asana: Aufsetzen eines ersten Projektplan-Rahmens für die Ablösung von Monday durch Asana inklusive erster Sichtung der Asana Features.</t>
  </si>
  <si>
    <t>0,50</t>
  </si>
  <si>
    <t>19.06.2026</t>
  </si>
  <si>
    <t>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</si>
  <si>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1,15</t>
  </si>
  <si>
    <t>20.06.2026</t>
  </si>
  <si>
    <t>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</si>
  <si>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2,75</t>
  </si>
  <si>
    <t>21.06.2026</t>
  </si>
  <si>
    <t>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</si>
  <si>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23.06.2026</t>
  </si>
  <si>
    <t>Leistungsbeschreibung Short.io-Anfrage: Ausarbeitung einer strukturierten Leistungsbeschreibung für die geplante Short.io-Anfrage einschließlich fachlicher Anforderungen, relevanter Rahmenbedingungen und prüffähiger Anfrageinhalte als Grundlage für die weitere Anbieterabstimmung.</t>
  </si>
  <si>
    <t>1,20</t>
  </si>
  <si>
    <t>24.06.2026</t>
  </si>
  <si>
    <t>Abstimmung Testvarianten Studienkonzept: Abstimmung mit Jule, Simone und Cathleen zur Konzeption und Einordnung der vier vorgesehenen Testvarianten; Klärung zentraler Anforderungen, Variantenlogik und nächster Schritte für die weitere Studienplanung.</t>
  </si>
  <si>
    <t>1,00</t>
  </si>
  <si>
    <t>Einarbeitung Methodik und Studienunterlagen: Einarbeitung in das Studienthema, Recherche und fachliche Einordnung der verwendeten Methoden sowie Durcharbeitung der vorhandenen Präsentationsunterlagen zur Vorbereitung der weiteren konzeptionellen und inhaltlichen Ausarbeitung.</t>
  </si>
  <si>
    <t>1,60</t>
  </si>
  <si>
    <t>Briefing Präsentationsausarbeitung: Erstellung und Strukturierung eines Briefings für Cathleen zur weiteren Bearbeitung der Präsentation, inklusive Zusammenfassung relevanter Inhalte und Anforderungen für die nächste Ausarbeitungsschleife.</t>
  </si>
  <si>
    <t>25.06.2026</t>
  </si>
  <si>
    <t>Finalisierung Briefing und Visualisierungstexte: Finalisierung des Briefings für Cathleen sowie Ausarbeitung und Präzisierung von Textvorschlägen und Visualisierungsansätzen für die Studienpräsentation.</t>
  </si>
  <si>
    <t>Anfrage POSTWURFSPEZIAL: Vorbereitung und Formulierung der Anfrage zu POSTWURFSPEZIAL unter Berücksichtigung der für die Studienumsetzung relevanten Anforderungen und Abstimmungsbedarfe.</t>
  </si>
  <si>
    <t>0,60</t>
  </si>
  <si>
    <t>Ist-/Soll-Analyse Studienmailing: 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</si>
  <si>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2,15</t>
  </si>
  <si>
    <t>Klärung Pre-Test-Vorgehen: Klärung des geplanten Pre-Test-Vorgehens mit dem Team, einschließlich Abstimmung offener Punkte und Einordnung der nächsten Schritte für die weitere Studienvorbereitung.</t>
  </si>
  <si>
    <t>0,30</t>
  </si>
  <si>
    <t>Statusabfrage und Arbeitspaket-Update: Einholung aktueller Statusinformationen und Aktualisierung der Arbeitspakete bis zum 03.07.; Strukturierung der offenen Punkte und Nachverfolgung relevanter Zuständigkeiten.</t>
  </si>
  <si>
    <t>26.06.2026</t>
  </si>
  <si>
    <t>Testskript und Zusammenfassung: Erstellung eines Skripts und Zusammenfassung der Inhalte als Testfassung für Jule und Simone, einschließlich Aufbereitung der relevanten Punkte für Prüfung, Feedback und weitere Abstimmung.</t>
  </si>
  <si>
    <t>1,55</t>
  </si>
  <si>
    <t>Vor-/Nachbereitung Christina-Abstimmung: Vor- und Nachbereitung der Abstimmung mit Christina einschließlich Terminabgleich, Strukturierung relevanter Inhalte und Ableitung der nächsten Schritte für die weitere Studien- und Präsentationsarbeit.</t>
  </si>
  <si>
    <t>1,10</t>
  </si>
  <si>
    <t>Pre-Test-Abstimmung Lone/Lisa: Abstimmung mit Lone und Lisa zum Pre-Test sowie zum Stand der bis Freitag vorgesehenen To-dos; Klärung offener Punkte, Zuständigkeiten und nächster Schritte.</t>
  </si>
  <si>
    <t>0,70</t>
  </si>
  <si>
    <t>Review Präsentationsüberarbeitung: Review der von Cathleen überarbeiteten Präsentation; Prüfung der inhaltlichen Anpassungen und Ableitung relevanter Rückmeldungen für die weitere Finalisierung.</t>
  </si>
  <si>
    <t>0,65</t>
  </si>
  <si>
    <t>Status-Update und Rücksprachen: Einholung und Aufbereitung aktueller Status-Updates; Sichtung der vorliegenden Ergebnisse sowie Durchführung notwendiger Rücksprachen zur weiteren Koordination.</t>
  </si>
  <si>
    <t>Auswertung InDesign-Skripttest: Auswertung des Testlaufs des InDesign-Skripts; Prüfung der Ergebnisse und Identifikation relevanter Punkte für die nächste technische Überarbeitung.</t>
  </si>
  <si>
    <t>27.06.2026</t>
  </si>
  <si>
    <t>Skripttest-Zusammenfassung und Vorbereitung: Zusammenfassung der Ergebnisse des Skripttests und Vorbereitung des nächsten Skripttests einschließlich Strukturierung der offenen Prüf- und Anpassungspunkte.</t>
  </si>
  <si>
    <t>29.06.2026</t>
  </si>
  <si>
    <t>Angebotsanfrage Neukundenmodul: Rückmeldung an Christina mit Bitte um ein Angebot für das Neukundenmodul; Präzisierung des Abstimmungsbedarfs und Vorbereitung der weiteren Entscheidungsgrundlage.</t>
  </si>
  <si>
    <t>0,20</t>
  </si>
  <si>
    <t>Projektplan-Update und Lizenzkoordination: Aktualisierung des Projektplans anhand der Rückmeldungen von Robert; Kommunikation der neuen Aufgaben und erwarteten Outcomes an die Beteiligten sowie Beauftragung der benötigten InDesign-Lizenz.</t>
  </si>
  <si>
    <t>0,80</t>
  </si>
  <si>
    <t>KI-gestützte Varianten- und Partnerdatenverarbeitung: Konzeption und Umsetzungsschritte für eine KI-gestützte Lösung zur Variantenaufbereitung und automatisierten Auswertung von Partnerdaten; Zusammenstellung relevanter Dokumente und Assets für den Testlauf sowie Prüfung des Fragebogens auf Struktur und Umsetzbarkeit.</t>
  </si>
  <si>
    <t>3,80</t>
  </si>
  <si>
    <t>Einweisung KI-/InDesign-Prozess: Call mit Simone zur Erklärung des KI-gestützten Prozesses, Einführung in die InDesign-Anforderungen sowie Abstimmung zur Benennung der Felder und Befüllung der Excel-Vorlage.</t>
  </si>
  <si>
    <t>30.06.2026</t>
  </si>
  <si>
    <t>Teamabstimmung Status und Herausforderungen: Abstimmungen mit Jule, Cathleen und Simone zu aktuellen Herausforderungen, Statusständen und nächsten Schritten; ergänzende Rückmeldung an Christina.</t>
  </si>
  <si>
    <t>Weiterentwicklung KI-/InDesign-Automatisierung: Weiterarbeit an der KI-gestützten Lösung zur Variantenaufbereitung und automatisierten Auswertung von Partnerdaten; Weiterentwicklung des InDesign-Skripts für den nächsten Testlauf.</t>
  </si>
  <si>
    <t>1,75</t>
  </si>
  <si>
    <t>Review und Weitergabe Präsentation: Review der von Cathleen überarbeiteten Präsentation; Prüfung der inhaltlichen Anpassungen und Weitergabe relevanter Rückmeldungen für die weitere Bearbeitung.</t>
  </si>
  <si>
    <t>Bestätigung</t>
  </si>
  <si>
    <t>Die oben aufgeführten Leistungen wurden wahrheitsgemäß dokumentiert und beziehen sich auf den Arbeitsstand des ausgewählten Monats.</t>
  </si>
  <si>
    <t>Ort/Datum: ______________________________    Unterschrift: ______________________________</t>
  </si>
  <si>
    <t>Weekly Team Meeting</t>
  </si>
  <si>
    <t>Meeting: Studie 2027 - Fragerunde / Abstimmung zur Akquirierung von Bestandskunden + Nachbereitung</t>
  </si>
  <si>
    <t>Absprache Robert + Nahcbereitung</t>
  </si>
  <si>
    <t>Studienname, Short.io nachfassen, Mails, Meeting Vorbereitung</t>
  </si>
  <si>
    <t>Review Email Vorlagen und weiteres Vorgehen + Einarbeotung Änderungsvwunsch von Martina in die Sales Präsentation</t>
  </si>
  <si>
    <t>Vorbreitung Neukunden Modul Slides Inhalt</t>
  </si>
  <si>
    <t xml:space="preserve">Anfang Erstellen Studien Projektplan </t>
  </si>
  <si>
    <t>Meeting: Neukundengewinnung Absprache mit Robert</t>
  </si>
  <si>
    <t>Meeting:Kick-Off CMC Print-Mailing-Studie 2027 +Daily</t>
  </si>
  <si>
    <t>Absprache Lone und  Pre-Tests</t>
  </si>
  <si>
    <t>Studienthema 2027 Deep Dive mit Lisa und Lone</t>
  </si>
  <si>
    <t>Leadgenerierung Studie 2027 mit Cathleen+ Nachbereitung</t>
  </si>
  <si>
    <t>Statusupdate und Urlaubsübergabe zum Thema Leadgenerierung Studie 2027</t>
  </si>
  <si>
    <t>Einarbeitung neuer Variablen in das Skript und Erstellung neues Testpaket</t>
  </si>
  <si>
    <t>Ausformulieren Briefing an Cathleen Foliensatz Post Weekly (Neukundenmodul)</t>
  </si>
  <si>
    <t>Content Plan Linkedin mit ctahleen + Erstellung gerüst im Vorfeld</t>
  </si>
  <si>
    <t>Pre-Test Aufsetzen, Planung und Feedback an Robert</t>
  </si>
  <si>
    <t>Abfrage Produktgruppen bei Yonne, Antwort Christina, Zusammenfassung Short.io + Nachfrage Short.io zu den letzten offenen Fragen + erneute Antwort von Shortio an Robert geben</t>
  </si>
  <si>
    <t>Daily + Pre-Test und letzte Punkte zur Übergabe</t>
  </si>
  <si>
    <t>Voraussichtlich: Weekly Meeting Deutsche Post + Nacharbeiten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</si>
</sst>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&quot;.&quot;mm&quot;.&quot;yyyy"/>
    <numFmt numFmtId="165" formatCode="#,##0.00\ [$EUR]"/>
    <numFmt numFmtId="166" formatCode="0.0%"/>
    <numFmt numFmtId="167" formatCode="[$-407]mmmm\ yyyy"/>
    <numFmt numFmtId="168" formatCode="#,##0.00\ [$€-407]"/>
    <numFmt numFmtId="169" formatCode="dd\.mm\.yyyy"/>
    <numFmt numFmtId="170" formatCode="#,##0.00\ &quot;EUR&quot;"/>
  </numFmts>
  <fonts count="17">
    <font>
      <sz val="11"/>
      <name val="Carlito"/>
    </font>
    <font>
      <b/>
      <sz val="18"/>
      <color rgb="FFFFFFFF"/>
      <name val="Aptos"/>
    </font>
    <font>
      <b/>
      <sz val="10"/>
      <color rgb="FFFFFFFF"/>
      <name val="Aptos"/>
    </font>
    <font>
      <sz val="10"/>
      <name val="Aptos"/>
    </font>
    <font>
      <i/>
      <sz val="10"/>
      <color rgb="FF475569"/>
      <name val="Aptos"/>
    </font>
    <font>
      <b/>
      <sz val="10"/>
      <name val="Aptos"/>
    </font>
    <font>
      <b/>
      <sz val="10"/>
      <color rgb="FF000000"/>
      <name val="Aptos"/>
    </font>
    <font>
      <sz val="11"/>
      <name val="Carlito"/>
    </font>
    <font>
      <b/>
      <sz val="12"/>
      <color rgb="FFFFFFFF"/>
      <name val="Aptos"/>
    </font>
    <font>
      <b/>
      <sz val="18"/>
      <color rgb="FFFFFFFF"/>
      <name val="Aptos"/>
    </font>
    <font>
      <b/>
      <sz val="12"/>
      <name val="Aptos"/>
    </font>
    <font>
      <b/>
      <sz val="10"/>
      <color rgb="FFFFFFFF"/>
      <name val="Aptos"/>
    </font>
    <font>
      <i/>
      <sz val="9"/>
      <color rgb="FF475569"/>
      <name val="Aptos"/>
    </font>
    <font>
      <i/>
      <sz val="10"/>
      <name val="Aptos"/>
    </font>
    <font>
      <b/>
      <sz val="14"/>
      <name val="Aptos"/>
    </font>
    <font>
      <b/>
      <sz val="9"/>
      <name val="Aptos"/>
    </font>
    <font>
      <sz val="9"/>
      <name val="Aptos"/>
    </font>
  </fonts>
  <fills count="19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AF2FF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9E0B"/>
      </patternFill>
    </fill>
    <fill>
      <patternFill patternType="solid">
        <fgColor rgb="FFEAF7ED"/>
      </patternFill>
    </fill>
    <fill>
      <patternFill patternType="solid">
        <fgColor rgb="FF243B53"/>
      </patternFill>
    </fill>
    <fill>
      <patternFill patternType="solid">
        <fgColor rgb="FFF1F5F9"/>
      </patternFill>
    </fill>
    <fill>
      <patternFill patternType="solid">
        <fgColor rgb="FFFFF7CC"/>
      </patternFill>
    </fill>
    <fill>
      <patternFill patternType="solid">
        <fgColor rgb="FFEAF2FF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E8F1FD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243B53"/>
      </left>
      <right style="thin">
        <color rgb="FF243B53"/>
      </right>
      <top style="thin">
        <color rgb="FF243B53"/>
      </top>
      <bottom style="thin">
        <color rgb="FF243B53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 style="thin">
        <color rgb="FF15803D"/>
      </top>
      <bottom/>
      <diagonal/>
    </border>
    <border>
      <left/>
      <right style="thin">
        <color rgb="FF15803D"/>
      </right>
      <top style="thin">
        <color rgb="FF15803D"/>
      </top>
      <bottom/>
      <diagonal/>
    </border>
    <border>
      <left style="thin">
        <color rgb="FF15803D"/>
      </left>
      <right/>
      <top/>
      <bottom/>
      <diagonal/>
    </border>
    <border>
      <left/>
      <right style="thin">
        <color rgb="FF15803D"/>
      </right>
      <top/>
      <bottom/>
      <diagonal/>
    </border>
    <border>
      <left style="thin">
        <color rgb="FF15803D"/>
      </left>
      <right/>
      <top/>
      <bottom style="thin">
        <color rgb="FF15803D"/>
      </bottom>
      <diagonal/>
    </border>
    <border>
      <left/>
      <right/>
      <top/>
      <bottom style="thin">
        <color rgb="FF15803D"/>
      </bottom>
      <diagonal/>
    </border>
    <border>
      <left/>
      <right style="thin">
        <color rgb="FF15803D"/>
      </right>
      <top/>
      <bottom style="thin">
        <color rgb="FF15803D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indexed="64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thin">
        <color rgb="FF15803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0B5F59"/>
      </left>
      <right style="thin">
        <color rgb="FF0B5F59"/>
      </right>
      <top style="thin">
        <color rgb="FF0B5F59"/>
      </top>
      <bottom style="thin">
        <color rgb="FF0B5F59"/>
      </bottom>
      <diagonal/>
    </border>
    <border>
      <left style="medium">
        <color rgb="FF0B5F59"/>
      </left>
      <right style="medium">
        <color rgb="FF0B5F59"/>
      </right>
      <top style="medium">
        <color rgb="FF0B5F59"/>
      </top>
      <bottom style="medium">
        <color rgb="FF0B5F59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999999"/>
      </left>
      <right style="thin">
        <color rgb="FF999999"/>
      </right>
      <top style="medium">
        <color rgb="FF666666"/>
      </top>
      <bottom style="medium">
        <color rgb="FF666666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999999"/>
      </right>
      <top style="medium">
        <color rgb="FF666666"/>
      </top>
      <bottom style="medium">
        <color rgb="FF666666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27"/>
    <xf numFmtId="0" fontId="7" fillId="0" borderId="27"/>
  </cellStyleXfs>
  <cellXfs count="108">
    <xf numFmtId="0" fontId="0" fillId="0" borderId="0" xfId="0" applyBorder="1"/>
    <xf numFmtId="0" fontId="3" fillId="0" borderId="0" xfId="1" applyFont="1" applyBorder="1"/>
    <xf numFmtId="0" fontId="5" fillId="4" borderId="1" xfId="1" applyFont="1" applyFill="1" applyBorder="1"/>
    <xf numFmtId="164" fontId="3" fillId="0" borderId="1" xfId="1" applyNumberFormat="1" applyFont="1" applyBorder="1" applyAlignment="1">
      <alignment wrapText="1"/>
    </xf>
    <xf numFmtId="0" fontId="2" fillId="5" borderId="0" xfId="1" applyFont="1" applyFill="1" applyBorder="1" applyAlignment="1">
      <alignment horizontal="center"/>
    </xf>
    <xf numFmtId="4" fontId="3" fillId="0" borderId="1" xfId="1" applyNumberFormat="1" applyFont="1" applyBorder="1" applyAlignment="1">
      <alignment wrapText="1"/>
    </xf>
    <xf numFmtId="0" fontId="3" fillId="0" borderId="1" xfId="1" applyFont="1" applyBorder="1"/>
    <xf numFmtId="0" fontId="3" fillId="0" borderId="1" xfId="1" applyFont="1" applyBorder="1" applyAlignment="1">
      <alignment wrapText="1"/>
    </xf>
    <xf numFmtId="0" fontId="6" fillId="6" borderId="2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/>
    </xf>
    <xf numFmtId="49" fontId="5" fillId="3" borderId="3" xfId="1" applyNumberFormat="1" applyFont="1" applyFill="1" applyBorder="1" applyAlignment="1">
      <alignment horizontal="center"/>
    </xf>
    <xf numFmtId="4" fontId="5" fillId="3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center"/>
    </xf>
    <xf numFmtId="0" fontId="3" fillId="7" borderId="4" xfId="1" applyFont="1" applyFill="1" applyBorder="1" applyAlignment="1">
      <alignment vertical="top" wrapText="1"/>
    </xf>
    <xf numFmtId="1" fontId="3" fillId="7" borderId="4" xfId="1" applyNumberFormat="1" applyFont="1" applyFill="1" applyBorder="1" applyAlignment="1">
      <alignment horizontal="right" vertical="top" wrapText="1"/>
    </xf>
    <xf numFmtId="0" fontId="2" fillId="2" borderId="5" xfId="1" applyFont="1" applyFill="1" applyBorder="1"/>
    <xf numFmtId="49" fontId="5" fillId="3" borderId="3" xfId="1" applyNumberFormat="1" applyFont="1" applyFill="1" applyBorder="1" applyAlignment="1">
      <alignment horizontal="right"/>
    </xf>
    <xf numFmtId="0" fontId="2" fillId="5" borderId="6" xfId="1" applyFont="1" applyFill="1" applyBorder="1" applyAlignment="1">
      <alignment horizontal="center" vertical="center" wrapText="1"/>
    </xf>
    <xf numFmtId="4" fontId="5" fillId="3" borderId="3" xfId="1" applyNumberFormat="1" applyFont="1" applyFill="1" applyBorder="1" applyAlignment="1">
      <alignment horizontal="right"/>
    </xf>
    <xf numFmtId="0" fontId="3" fillId="0" borderId="1" xfId="1" applyFont="1" applyBorder="1" applyAlignment="1">
      <alignment vertical="top" wrapText="1"/>
    </xf>
    <xf numFmtId="4" fontId="3" fillId="0" borderId="1" xfId="1" applyNumberFormat="1" applyFont="1" applyBorder="1" applyAlignment="1">
      <alignment vertical="top" wrapText="1"/>
    </xf>
    <xf numFmtId="166" fontId="3" fillId="0" borderId="1" xfId="1" applyNumberFormat="1" applyFont="1" applyBorder="1" applyAlignment="1">
      <alignment vertical="top" wrapText="1"/>
    </xf>
    <xf numFmtId="165" fontId="5" fillId="3" borderId="3" xfId="1" applyNumberFormat="1" applyFont="1" applyFill="1" applyBorder="1" applyAlignment="1">
      <alignment horizontal="right"/>
    </xf>
    <xf numFmtId="0" fontId="5" fillId="4" borderId="1" xfId="1" applyFont="1" applyFill="1" applyBorder="1" applyAlignment="1">
      <alignment vertical="top"/>
    </xf>
    <xf numFmtId="165" fontId="3" fillId="0" borderId="1" xfId="1" applyNumberFormat="1" applyFont="1" applyBorder="1" applyAlignment="1">
      <alignment vertical="top" wrapText="1"/>
    </xf>
    <xf numFmtId="49" fontId="5" fillId="3" borderId="3" xfId="1" applyNumberFormat="1" applyFont="1" applyFill="1" applyBorder="1"/>
    <xf numFmtId="0" fontId="5" fillId="3" borderId="3" xfId="1" applyFont="1" applyFill="1" applyBorder="1"/>
    <xf numFmtId="4" fontId="5" fillId="3" borderId="3" xfId="1" applyNumberFormat="1" applyFont="1" applyFill="1" applyBorder="1"/>
    <xf numFmtId="165" fontId="5" fillId="3" borderId="3" xfId="1" applyNumberFormat="1" applyFont="1" applyFill="1" applyBorder="1"/>
    <xf numFmtId="164" fontId="3" fillId="0" borderId="1" xfId="1" applyNumberFormat="1" applyFont="1" applyBorder="1" applyAlignment="1">
      <alignment horizontal="center" vertical="top" wrapText="1"/>
    </xf>
    <xf numFmtId="4" fontId="3" fillId="0" borderId="1" xfId="1" applyNumberFormat="1" applyFont="1" applyBorder="1" applyAlignment="1">
      <alignment horizontal="right" vertical="top" wrapText="1"/>
    </xf>
    <xf numFmtId="0" fontId="3" fillId="7" borderId="19" xfId="1" applyFont="1" applyFill="1" applyBorder="1" applyAlignment="1">
      <alignment vertical="top" wrapText="1"/>
    </xf>
    <xf numFmtId="0" fontId="2" fillId="5" borderId="20" xfId="0" applyFont="1" applyFill="1" applyBorder="1" applyAlignment="1">
      <alignment horizontal="center" vertical="top" wrapText="1"/>
    </xf>
    <xf numFmtId="164" fontId="3" fillId="0" borderId="20" xfId="0" applyNumberFormat="1" applyFont="1" applyBorder="1" applyAlignment="1">
      <alignment horizontal="center" vertical="top" wrapText="1"/>
    </xf>
    <xf numFmtId="0" fontId="3" fillId="0" borderId="20" xfId="0" applyFont="1" applyBorder="1" applyAlignment="1">
      <alignment vertical="top" wrapText="1"/>
    </xf>
    <xf numFmtId="4" fontId="3" fillId="0" borderId="20" xfId="0" applyNumberFormat="1" applyFont="1" applyBorder="1" applyAlignment="1">
      <alignment horizontal="right" vertical="top" wrapText="1"/>
    </xf>
    <xf numFmtId="0" fontId="10" fillId="0" borderId="0" xfId="0" applyFont="1" applyBorder="1"/>
    <xf numFmtId="0" fontId="5" fillId="11" borderId="29" xfId="0" applyFont="1" applyFill="1" applyBorder="1" applyAlignment="1">
      <alignment vertical="center" wrapText="1"/>
    </xf>
    <xf numFmtId="2" fontId="5" fillId="12" borderId="29" xfId="0" applyNumberFormat="1" applyFont="1" applyFill="1" applyBorder="1" applyAlignment="1">
      <alignment horizontal="right" vertical="center"/>
    </xf>
    <xf numFmtId="0" fontId="11" fillId="14" borderId="30" xfId="0" applyFont="1" applyFill="1" applyBorder="1" applyAlignment="1">
      <alignment horizontal="center" vertical="center" wrapText="1"/>
    </xf>
    <xf numFmtId="167" fontId="3" fillId="0" borderId="29" xfId="0" applyNumberFormat="1" applyFont="1" applyBorder="1" applyAlignment="1">
      <alignment horizontal="left" vertical="center" wrapText="1"/>
    </xf>
    <xf numFmtId="2" fontId="3" fillId="0" borderId="29" xfId="0" applyNumberFormat="1" applyFont="1" applyBorder="1" applyAlignment="1">
      <alignment horizontal="right" vertical="center" wrapText="1"/>
    </xf>
    <xf numFmtId="2" fontId="3" fillId="13" borderId="29" xfId="0" applyNumberFormat="1" applyFont="1" applyFill="1" applyBorder="1" applyAlignment="1">
      <alignment horizontal="righ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12" borderId="29" xfId="0" applyFont="1" applyFill="1" applyBorder="1" applyAlignment="1">
      <alignment vertical="center" wrapText="1"/>
    </xf>
    <xf numFmtId="0" fontId="3" fillId="13" borderId="29" xfId="0" applyFont="1" applyFill="1" applyBorder="1" applyAlignment="1">
      <alignment vertical="center" wrapText="1"/>
    </xf>
    <xf numFmtId="2" fontId="3" fillId="7" borderId="4" xfId="1" applyNumberFormat="1" applyFont="1" applyFill="1" applyBorder="1" applyAlignment="1">
      <alignment horizontal="right" vertical="top" wrapText="1"/>
    </xf>
    <xf numFmtId="168" fontId="3" fillId="7" borderId="4" xfId="1" applyNumberFormat="1" applyFont="1" applyFill="1" applyBorder="1" applyAlignment="1">
      <alignment horizontal="right" vertical="top" wrapText="1"/>
    </xf>
    <xf numFmtId="2" fontId="3" fillId="12" borderId="29" xfId="0" applyNumberFormat="1" applyFont="1" applyFill="1" applyBorder="1" applyAlignment="1">
      <alignment vertical="center" wrapText="1"/>
    </xf>
    <xf numFmtId="0" fontId="11" fillId="14" borderId="31" xfId="1" applyFont="1" applyFill="1" applyBorder="1" applyAlignment="1">
      <alignment horizontal="center" vertical="center" wrapText="1"/>
    </xf>
    <xf numFmtId="0" fontId="5" fillId="13" borderId="29" xfId="1" applyFont="1" applyFill="1" applyBorder="1" applyAlignment="1">
      <alignment horizontal="right" vertical="center"/>
    </xf>
    <xf numFmtId="169" fontId="5" fillId="13" borderId="29" xfId="1" applyNumberFormat="1" applyFont="1" applyFill="1" applyBorder="1" applyAlignment="1">
      <alignment horizontal="right" vertical="center"/>
    </xf>
    <xf numFmtId="2" fontId="5" fillId="13" borderId="29" xfId="1" applyNumberFormat="1" applyFont="1" applyFill="1" applyBorder="1" applyAlignment="1">
      <alignment horizontal="right" vertical="center"/>
    </xf>
    <xf numFmtId="2" fontId="5" fillId="12" borderId="29" xfId="1" applyNumberFormat="1" applyFont="1" applyFill="1" applyBorder="1" applyAlignment="1">
      <alignment horizontal="right" vertical="center"/>
    </xf>
    <xf numFmtId="169" fontId="3" fillId="7" borderId="4" xfId="1" applyNumberFormat="1" applyFont="1" applyFill="1" applyBorder="1" applyAlignment="1">
      <alignment horizontal="center" vertical="top" wrapText="1"/>
    </xf>
    <xf numFmtId="169" fontId="3" fillId="7" borderId="19" xfId="1" applyNumberFormat="1" applyFont="1" applyFill="1" applyBorder="1" applyAlignment="1">
      <alignment horizontal="center" vertical="top" wrapText="1"/>
    </xf>
    <xf numFmtId="2" fontId="3" fillId="7" borderId="19" xfId="1" applyNumberFormat="1" applyFont="1" applyFill="1" applyBorder="1" applyAlignment="1">
      <alignment horizontal="right" vertical="top" wrapText="1"/>
    </xf>
    <xf numFmtId="0" fontId="0" fillId="0" borderId="27" xfId="0"/>
    <xf numFmtId="0" fontId="6" fillId="6" borderId="28" xfId="0" applyFont="1" applyFill="1" applyBorder="1" applyAlignment="1">
      <alignment horizontal="center" vertical="center" wrapText="1"/>
    </xf>
    <xf numFmtId="2" fontId="3" fillId="7" borderId="4" xfId="0" applyNumberFormat="1" applyFont="1" applyFill="1" applyBorder="1" applyAlignment="1">
      <alignment horizontal="right" vertical="top" wrapText="1"/>
    </xf>
    <xf numFmtId="2" fontId="3" fillId="7" borderId="19" xfId="0" applyNumberFormat="1" applyFont="1" applyFill="1" applyBorder="1" applyAlignment="1">
      <alignment horizontal="right" vertical="top" wrapText="1"/>
    </xf>
    <xf numFmtId="0" fontId="3" fillId="7" borderId="4" xfId="1" applyFont="1" applyFill="1" applyBorder="1" applyAlignment="1">
      <alignment horizontal="left" vertical="top" wrapText="1"/>
    </xf>
    <xf numFmtId="0" fontId="14" fillId="15" borderId="34" xfId="0" applyFont="1" applyFill="1" applyBorder="1" applyAlignment="1">
      <alignment horizontal="center" vertical="center" wrapText="1"/>
    </xf>
    <xf numFmtId="0" fontId="15" fillId="16" borderId="35" xfId="0" applyFont="1" applyFill="1" applyBorder="1" applyAlignment="1">
      <alignment horizontal="left" vertical="center" wrapText="1"/>
    </xf>
    <xf numFmtId="0" fontId="15" fillId="16" borderId="35" xfId="0" applyFont="1" applyFill="1" applyBorder="1" applyAlignment="1">
      <alignment horizontal="center" vertical="center" wrapText="1"/>
    </xf>
    <xf numFmtId="0" fontId="15" fillId="16" borderId="35" xfId="0" applyFont="1" applyFill="1" applyBorder="1" applyAlignment="1">
      <alignment horizontal="right" vertical="center" wrapText="1"/>
    </xf>
    <xf numFmtId="2" fontId="15" fillId="16" borderId="35" xfId="0" applyNumberFormat="1" applyFont="1" applyFill="1" applyBorder="1" applyAlignment="1">
      <alignment horizontal="right" vertical="center" wrapText="1"/>
    </xf>
    <xf numFmtId="0" fontId="15" fillId="18" borderId="36" xfId="0" applyFont="1" applyFill="1" applyBorder="1" applyAlignment="1">
      <alignment horizontal="left" vertical="center" wrapText="1"/>
    </xf>
    <xf numFmtId="0" fontId="16" fillId="18" borderId="36" xfId="0" applyFont="1" applyFill="1" applyBorder="1" applyAlignment="1">
      <alignment horizontal="left" vertical="center" wrapText="1"/>
    </xf>
    <xf numFmtId="2" fontId="16" fillId="18" borderId="36" xfId="0" applyNumberFormat="1" applyFont="1" applyFill="1" applyBorder="1" applyAlignment="1">
      <alignment horizontal="right" vertical="center" wrapText="1"/>
    </xf>
    <xf numFmtId="0" fontId="16" fillId="18" borderId="37" xfId="0" applyFont="1" applyFill="1" applyBorder="1" applyAlignment="1">
      <alignment horizontal="left" vertical="center" wrapText="1"/>
    </xf>
    <xf numFmtId="2" fontId="16" fillId="18" borderId="37" xfId="0" applyNumberFormat="1" applyFont="1" applyFill="1" applyBorder="1" applyAlignment="1">
      <alignment horizontal="right" vertical="center" wrapText="1"/>
    </xf>
    <xf numFmtId="170" fontId="3" fillId="13" borderId="29" xfId="0" applyNumberFormat="1" applyFont="1" applyFill="1" applyBorder="1" applyAlignment="1">
      <alignment horizontal="right" vertical="center" wrapText="1"/>
    </xf>
    <xf numFmtId="0" fontId="12" fillId="11" borderId="29" xfId="1" applyFont="1" applyFill="1" applyBorder="1" applyAlignment="1">
      <alignment vertical="center" wrapText="1"/>
    </xf>
    <xf numFmtId="0" fontId="0" fillId="0" borderId="32" xfId="0" applyBorder="1"/>
    <xf numFmtId="0" fontId="0" fillId="0" borderId="33" xfId="0" applyBorder="1"/>
    <xf numFmtId="0" fontId="1" fillId="2" borderId="27" xfId="1" applyFont="1" applyFill="1" applyAlignment="1">
      <alignment vertical="center"/>
    </xf>
    <xf numFmtId="0" fontId="0" fillId="0" borderId="0" xfId="0" applyBorder="1"/>
    <xf numFmtId="0" fontId="4" fillId="3" borderId="27" xfId="1" applyFont="1" applyFill="1" applyAlignment="1">
      <alignment vertical="center" wrapText="1"/>
    </xf>
    <xf numFmtId="0" fontId="13" fillId="17" borderId="36" xfId="0" applyFont="1" applyFill="1" applyBorder="1" applyAlignment="1">
      <alignment horizontal="left" vertical="center" wrapText="1"/>
    </xf>
    <xf numFmtId="0" fontId="0" fillId="0" borderId="39" xfId="0" applyBorder="1"/>
    <xf numFmtId="0" fontId="0" fillId="0" borderId="40" xfId="0" applyBorder="1"/>
    <xf numFmtId="0" fontId="15" fillId="16" borderId="35" xfId="0" applyFont="1" applyFill="1" applyBorder="1" applyAlignment="1">
      <alignment horizontal="left" vertical="center" wrapText="1"/>
    </xf>
    <xf numFmtId="0" fontId="0" fillId="0" borderId="38" xfId="0" applyBorder="1"/>
    <xf numFmtId="0" fontId="9" fillId="10" borderId="27" xfId="0" applyFont="1" applyFill="1" applyAlignment="1">
      <alignment vertical="center"/>
    </xf>
    <xf numFmtId="0" fontId="8" fillId="10" borderId="27" xfId="0" applyFont="1" applyFill="1" applyAlignment="1">
      <alignment vertical="center"/>
    </xf>
    <xf numFmtId="0" fontId="3" fillId="0" borderId="1" xfId="1" applyFont="1" applyBorder="1" applyAlignment="1">
      <alignment vertical="top" wrapText="1"/>
    </xf>
    <xf numFmtId="0" fontId="0" fillId="0" borderId="21" xfId="0" applyBorder="1"/>
    <xf numFmtId="0" fontId="0" fillId="0" borderId="22" xfId="0" applyBorder="1"/>
    <xf numFmtId="0" fontId="2" fillId="8" borderId="27" xfId="1" applyFont="1" applyFill="1" applyAlignment="1">
      <alignment vertical="center"/>
    </xf>
    <xf numFmtId="0" fontId="5" fillId="4" borderId="25" xfId="1" applyFont="1" applyFill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3" fillId="0" borderId="23" xfId="1" applyFont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3" fillId="0" borderId="26" xfId="1" applyFont="1" applyBorder="1" applyAlignment="1">
      <alignment wrapText="1"/>
    </xf>
    <xf numFmtId="0" fontId="0" fillId="0" borderId="16" xfId="0" applyBorder="1"/>
    <xf numFmtId="164" fontId="3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9" borderId="24" xfId="1" applyFont="1" applyFill="1" applyBorder="1" applyAlignment="1">
      <alignment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2">
    <cellStyle name="Normal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1"/>
  <sheetViews>
    <sheetView showGridLines="0" zoomScale="110" workbookViewId="0">
      <pane ySplit="1" topLeftCell="A14" activePane="bottomLeft" state="frozen"/>
      <selection pane="bottomLeft" activeCell="A3" sqref="A3:C19"/>
    </sheetView>
  </sheetViews>
  <sheetFormatPr baseColWidth="10" defaultColWidth="8.83203125" defaultRowHeight="14"/>
  <cols>
    <col min="1" max="1" width="15" customWidth="1"/>
    <col min="2" max="2" width="70" customWidth="1"/>
    <col min="3" max="3" width="14" customWidth="1"/>
  </cols>
  <sheetData>
    <row r="1" spans="1:3" ht="44" customHeight="1" thickBot="1">
      <c r="A1" s="62" t="s">
        <v>12</v>
      </c>
      <c r="B1" s="62" t="s">
        <v>121</v>
      </c>
      <c r="C1" s="62" t="s">
        <v>122</v>
      </c>
    </row>
    <row r="2" spans="1:3" ht="30" customHeight="1" thickBot="1">
      <c r="A2" s="82" t="s">
        <v>123</v>
      </c>
      <c r="B2" s="83"/>
      <c r="C2" s="64" t="s">
        <v>124</v>
      </c>
    </row>
    <row r="3" spans="1:3" ht="49" customHeight="1">
      <c r="A3" s="67" t="s">
        <v>125</v>
      </c>
      <c r="B3" s="68" t="s">
        <v>102</v>
      </c>
      <c r="C3" s="69">
        <v>1</v>
      </c>
    </row>
    <row r="4" spans="1:3" ht="49" customHeight="1">
      <c r="A4" s="67" t="s">
        <v>125</v>
      </c>
      <c r="B4" s="68" t="s">
        <v>103</v>
      </c>
      <c r="C4" s="69">
        <v>3.4</v>
      </c>
    </row>
    <row r="5" spans="1:3" ht="49" customHeight="1">
      <c r="A5" s="67" t="s">
        <v>126</v>
      </c>
      <c r="B5" s="68" t="s">
        <v>104</v>
      </c>
      <c r="C5" s="69">
        <v>1.45</v>
      </c>
    </row>
    <row r="6" spans="1:3" ht="49" customHeight="1">
      <c r="A6" s="67" t="s">
        <v>126</v>
      </c>
      <c r="B6" s="68" t="s">
        <v>105</v>
      </c>
      <c r="C6" s="69">
        <v>2.75</v>
      </c>
    </row>
    <row r="7" spans="1:3" ht="49" customHeight="1">
      <c r="A7" s="67" t="s">
        <v>127</v>
      </c>
      <c r="B7" s="68" t="s">
        <v>106</v>
      </c>
      <c r="C7" s="69">
        <v>1.1000000000000001</v>
      </c>
    </row>
    <row r="8" spans="1:3" ht="49" customHeight="1">
      <c r="A8" s="67" t="s">
        <v>127</v>
      </c>
      <c r="B8" s="68" t="s">
        <v>107</v>
      </c>
      <c r="C8" s="69">
        <v>1.2</v>
      </c>
    </row>
    <row r="9" spans="1:3" ht="49" customHeight="1">
      <c r="A9" s="67" t="s">
        <v>127</v>
      </c>
      <c r="B9" s="68" t="s">
        <v>108</v>
      </c>
      <c r="C9" s="69">
        <v>0.7</v>
      </c>
    </row>
    <row r="10" spans="1:3" ht="49" customHeight="1">
      <c r="A10" s="67" t="s">
        <v>127</v>
      </c>
      <c r="B10" s="68" t="s">
        <v>109</v>
      </c>
      <c r="C10" s="69">
        <v>1.5</v>
      </c>
    </row>
    <row r="11" spans="1:3" ht="49" customHeight="1">
      <c r="A11" s="67" t="s">
        <v>127</v>
      </c>
      <c r="B11" s="68" t="s">
        <v>110</v>
      </c>
      <c r="C11" s="69">
        <v>1.25</v>
      </c>
    </row>
    <row r="12" spans="1:3" ht="49" customHeight="1">
      <c r="A12" s="67" t="s">
        <v>128</v>
      </c>
      <c r="B12" s="68" t="s">
        <v>111</v>
      </c>
      <c r="C12" s="69">
        <v>0.75</v>
      </c>
    </row>
    <row r="13" spans="1:3" ht="49" customHeight="1">
      <c r="A13" s="67" t="s">
        <v>128</v>
      </c>
      <c r="B13" s="68" t="s">
        <v>112</v>
      </c>
      <c r="C13" s="69">
        <v>0.45</v>
      </c>
    </row>
    <row r="14" spans="1:3" ht="49" customHeight="1">
      <c r="A14" s="67" t="s">
        <v>128</v>
      </c>
      <c r="B14" s="68" t="s">
        <v>113</v>
      </c>
      <c r="C14" s="69">
        <v>2.25</v>
      </c>
    </row>
    <row r="15" spans="1:3" ht="49" customHeight="1">
      <c r="A15" s="67" t="s">
        <v>128</v>
      </c>
      <c r="B15" s="68" t="s">
        <v>114</v>
      </c>
      <c r="C15" s="69">
        <v>1</v>
      </c>
    </row>
    <row r="16" spans="1:3" ht="49" customHeight="1">
      <c r="A16" s="67" t="s">
        <v>128</v>
      </c>
      <c r="B16" s="68" t="s">
        <v>115</v>
      </c>
      <c r="C16" s="69">
        <v>0.5</v>
      </c>
    </row>
    <row r="17" spans="1:3" ht="49" customHeight="1">
      <c r="A17" s="67" t="s">
        <v>129</v>
      </c>
      <c r="B17" s="68" t="s">
        <v>116</v>
      </c>
      <c r="C17" s="69">
        <v>2.25</v>
      </c>
    </row>
    <row r="18" spans="1:3" s="57" customFormat="1" ht="49" customHeight="1" thickBot="1">
      <c r="A18" s="67" t="s">
        <v>129</v>
      </c>
      <c r="B18" s="70" t="s">
        <v>130</v>
      </c>
      <c r="C18" s="71">
        <v>-1.55</v>
      </c>
    </row>
    <row r="19" spans="1:3" ht="28" customHeight="1" thickBot="1">
      <c r="A19" s="65"/>
      <c r="B19" s="63" t="s">
        <v>131</v>
      </c>
      <c r="C19" s="66">
        <f>SUM(C3:C18)</f>
        <v>19.999999999999996</v>
      </c>
    </row>
    <row r="20" spans="1:3" ht="28" customHeight="1" thickBot="1">
      <c r="A20" s="79" t="s">
        <v>132</v>
      </c>
      <c r="B20" s="80"/>
      <c r="C20" s="81"/>
    </row>
    <row r="21" spans="1:3" ht="28" customHeight="1" thickBot="1">
      <c r="A21" s="62"/>
      <c r="B21" s="62"/>
      <c r="C21" s="62"/>
    </row>
    <row r="22" spans="1:3" ht="28" customHeight="1" thickBot="1">
      <c r="A22" s="62"/>
      <c r="B22" s="62"/>
      <c r="C22" s="62"/>
    </row>
    <row r="23" spans="1:3" ht="58" customHeight="1" thickBot="1">
      <c r="A23" s="62"/>
      <c r="B23" s="62"/>
      <c r="C23" s="62"/>
    </row>
    <row r="24" spans="1:3" ht="58" customHeight="1" thickBot="1">
      <c r="A24" s="62"/>
      <c r="B24" s="62"/>
      <c r="C24" s="62"/>
    </row>
    <row r="25" spans="1:3" ht="58" customHeight="1" thickBot="1">
      <c r="A25" s="62"/>
      <c r="B25" s="62"/>
      <c r="C25" s="62"/>
    </row>
    <row r="26" spans="1:3" ht="58" customHeight="1" thickBot="1">
      <c r="A26" s="62"/>
      <c r="B26" s="62"/>
      <c r="C26" s="62"/>
    </row>
    <row r="27" spans="1:3" ht="58" customHeight="1" thickBot="1">
      <c r="A27" s="62"/>
      <c r="B27" s="62"/>
      <c r="C27" s="62"/>
    </row>
    <row r="28" spans="1:3" ht="58" customHeight="1" thickBot="1">
      <c r="A28" s="62"/>
      <c r="B28" s="62"/>
      <c r="C28" s="62"/>
    </row>
    <row r="29" spans="1:3" ht="58" customHeight="1" thickBot="1">
      <c r="A29" s="62"/>
      <c r="B29" s="62"/>
      <c r="C29" s="62"/>
    </row>
    <row r="30" spans="1:3" ht="58" customHeight="1" thickBot="1">
      <c r="A30" s="62"/>
      <c r="B30" s="62"/>
      <c r="C30" s="62"/>
    </row>
    <row r="31" spans="1:3" ht="58" customHeight="1" thickBot="1">
      <c r="A31" s="62"/>
      <c r="B31" s="62"/>
      <c r="C31" s="62"/>
    </row>
    <row r="32" spans="1:3" ht="58" customHeight="1" thickBot="1">
      <c r="A32" s="62"/>
      <c r="B32" s="62"/>
      <c r="C32" s="62"/>
    </row>
    <row r="33" spans="1:3" ht="58" customHeight="1" thickBot="1">
      <c r="A33" s="62"/>
      <c r="B33" s="62"/>
      <c r="C33" s="62"/>
    </row>
    <row r="34" spans="1:3" ht="58" customHeight="1" thickBot="1">
      <c r="A34" s="62"/>
      <c r="B34" s="62"/>
      <c r="C34" s="62"/>
    </row>
    <row r="35" spans="1:3" ht="58" customHeight="1" thickBot="1">
      <c r="A35" s="62"/>
      <c r="B35" s="62"/>
      <c r="C35" s="62"/>
    </row>
    <row r="36" spans="1:3" ht="58" customHeight="1" thickBot="1">
      <c r="A36" s="62"/>
      <c r="B36" s="62"/>
      <c r="C36" s="62"/>
    </row>
    <row r="37" spans="1:3" ht="28" customHeight="1" thickBot="1">
      <c r="A37" s="62"/>
      <c r="B37" s="62"/>
      <c r="C37" s="62"/>
    </row>
    <row r="38" spans="1:3" ht="18" customHeight="1" thickBot="1">
      <c r="A38" s="62"/>
      <c r="B38" s="62"/>
      <c r="C38" s="62"/>
    </row>
    <row r="39" spans="1:3" ht="30" customHeight="1" thickBot="1">
      <c r="A39" s="62"/>
      <c r="B39" s="62"/>
      <c r="C39" s="62"/>
    </row>
    <row r="40" spans="1:3" ht="18" customHeight="1" thickBot="1">
      <c r="A40" s="62"/>
      <c r="B40" s="62"/>
      <c r="C40" s="62"/>
    </row>
    <row r="41" spans="1:3" ht="18" customHeight="1" thickBot="1">
      <c r="A41" s="62"/>
      <c r="B41" s="62"/>
      <c r="C41" s="62"/>
    </row>
    <row r="42" spans="1:3" ht="18" customHeight="1" thickBot="1">
      <c r="A42" s="62"/>
      <c r="B42" s="62"/>
      <c r="C42" s="62"/>
    </row>
    <row r="43" spans="1:3" ht="18" customHeight="1" thickBot="1">
      <c r="A43" s="62"/>
      <c r="B43" s="62"/>
      <c r="C43" s="62"/>
    </row>
    <row r="44" spans="1:3" ht="18" customHeight="1" thickBot="1">
      <c r="A44" s="62"/>
      <c r="B44" s="62"/>
      <c r="C44" s="62"/>
    </row>
    <row r="45" spans="1:3" ht="18" customHeight="1" thickBot="1">
      <c r="A45" s="62"/>
      <c r="B45" s="62"/>
      <c r="C45" s="62"/>
    </row>
    <row r="46" spans="1:3" ht="18" customHeight="1" thickBot="1">
      <c r="A46" s="62"/>
      <c r="B46" s="62"/>
      <c r="C46" s="62"/>
    </row>
    <row r="47" spans="1:3" ht="18" customHeight="1" thickBot="1">
      <c r="A47" s="62"/>
      <c r="B47" s="62"/>
      <c r="C47" s="62"/>
    </row>
    <row r="48" spans="1:3" ht="18" customHeight="1" thickBot="1">
      <c r="A48" s="62"/>
      <c r="B48" s="62"/>
      <c r="C48" s="62"/>
    </row>
    <row r="49" spans="1:3" ht="18" customHeight="1" thickBot="1">
      <c r="A49" s="62"/>
      <c r="B49" s="62"/>
      <c r="C49" s="62"/>
    </row>
    <row r="50" spans="1:3" ht="18" customHeight="1" thickBot="1">
      <c r="A50" s="62"/>
      <c r="B50" s="62"/>
      <c r="C50" s="62"/>
    </row>
    <row r="51" spans="1:3" ht="18" customHeight="1" thickBot="1">
      <c r="A51" s="62"/>
      <c r="B51" s="62"/>
      <c r="C51" s="62"/>
    </row>
    <row r="52" spans="1:3" ht="18" customHeight="1" thickBot="1">
      <c r="A52" s="62"/>
      <c r="B52" s="62"/>
      <c r="C52" s="62"/>
    </row>
    <row r="53" spans="1:3" ht="18" customHeight="1" thickBot="1">
      <c r="A53" s="62"/>
      <c r="B53" s="62"/>
      <c r="C53" s="62"/>
    </row>
    <row r="54" spans="1:3" ht="18" customHeight="1" thickBot="1">
      <c r="A54" s="62"/>
      <c r="B54" s="62"/>
      <c r="C54" s="62"/>
    </row>
    <row r="55" spans="1:3" ht="18" customHeight="1" thickBot="1">
      <c r="A55" s="62"/>
      <c r="B55" s="62"/>
      <c r="C55" s="62"/>
    </row>
    <row r="56" spans="1:3" ht="18" customHeight="1" thickBot="1">
      <c r="A56" s="62"/>
      <c r="B56" s="62"/>
      <c r="C56" s="62"/>
    </row>
    <row r="57" spans="1:3" ht="18" customHeight="1" thickBot="1">
      <c r="A57" s="62"/>
      <c r="B57" s="62"/>
      <c r="C57" s="62"/>
    </row>
    <row r="58" spans="1:3" ht="18" customHeight="1" thickBot="1">
      <c r="A58" s="62"/>
      <c r="B58" s="62"/>
      <c r="C58" s="62"/>
    </row>
    <row r="59" spans="1:3" ht="18" customHeight="1" thickBot="1">
      <c r="A59" s="62"/>
      <c r="B59" s="62"/>
      <c r="C59" s="62"/>
    </row>
    <row r="60" spans="1:3" ht="18" customHeight="1" thickBot="1">
      <c r="A60" s="62"/>
      <c r="B60" s="62"/>
      <c r="C60" s="62"/>
    </row>
    <row r="61" spans="1:3" ht="18" customHeight="1" thickBot="1">
      <c r="A61" s="62"/>
      <c r="B61" s="62"/>
      <c r="C61" s="62"/>
    </row>
    <row r="62" spans="1:3" ht="18" customHeight="1" thickBot="1">
      <c r="A62" s="62"/>
      <c r="B62" s="62"/>
      <c r="C62" s="62"/>
    </row>
    <row r="63" spans="1:3" ht="18" customHeight="1" thickBot="1">
      <c r="A63" s="62"/>
      <c r="B63" s="62"/>
      <c r="C63" s="62"/>
    </row>
    <row r="64" spans="1:3" ht="18" customHeight="1" thickBot="1">
      <c r="A64" s="62"/>
      <c r="B64" s="62"/>
      <c r="C64" s="62"/>
    </row>
    <row r="65" spans="1:3" ht="18" customHeight="1" thickBot="1">
      <c r="A65" s="62"/>
      <c r="B65" s="62"/>
      <c r="C65" s="62"/>
    </row>
    <row r="66" spans="1:3" ht="18" customHeight="1" thickBot="1">
      <c r="A66" s="62"/>
      <c r="B66" s="62"/>
      <c r="C66" s="62"/>
    </row>
    <row r="67" spans="1:3" ht="18" customHeight="1" thickBot="1">
      <c r="A67" s="62"/>
      <c r="B67" s="62"/>
      <c r="C67" s="62"/>
    </row>
    <row r="68" spans="1:3" ht="18" customHeight="1" thickBot="1">
      <c r="A68" s="62"/>
      <c r="B68" s="62"/>
      <c r="C68" s="62"/>
    </row>
    <row r="69" spans="1:3" ht="18" customHeight="1" thickBot="1">
      <c r="A69" s="62"/>
      <c r="B69" s="62"/>
      <c r="C69" s="62"/>
    </row>
    <row r="70" spans="1:3" ht="18" customHeight="1" thickBot="1">
      <c r="A70" s="62"/>
      <c r="B70" s="62"/>
      <c r="C70" s="62"/>
    </row>
    <row r="71" spans="1:3" ht="18" customHeight="1" thickBot="1">
      <c r="A71" s="62"/>
      <c r="B71" s="62"/>
      <c r="C71" s="62"/>
    </row>
    <row r="72" spans="1:3" ht="18" customHeight="1" thickBot="1">
      <c r="A72" s="62"/>
      <c r="B72" s="62"/>
      <c r="C72" s="62"/>
    </row>
    <row r="73" spans="1:3" ht="18" customHeight="1" thickBot="1">
      <c r="A73" s="62"/>
      <c r="B73" s="62"/>
      <c r="C73" s="62"/>
    </row>
    <row r="74" spans="1:3" ht="18" customHeight="1" thickBot="1">
      <c r="A74" s="62"/>
      <c r="B74" s="62"/>
      <c r="C74" s="62"/>
    </row>
    <row r="75" spans="1:3" ht="18" customHeight="1" thickBot="1">
      <c r="A75" s="62"/>
      <c r="B75" s="62"/>
      <c r="C75" s="62"/>
    </row>
    <row r="76" spans="1:3" ht="18" customHeight="1" thickBot="1">
      <c r="A76" s="62"/>
      <c r="B76" s="62"/>
      <c r="C76" s="62"/>
    </row>
    <row r="77" spans="1:3" ht="18" customHeight="1" thickBot="1">
      <c r="A77" s="62"/>
      <c r="B77" s="62"/>
      <c r="C77" s="62"/>
    </row>
    <row r="78" spans="1:3" ht="18" customHeight="1" thickBot="1">
      <c r="A78" s="62"/>
      <c r="B78" s="62"/>
      <c r="C78" s="62"/>
    </row>
    <row r="79" spans="1:3" ht="18" customHeight="1" thickBot="1">
      <c r="A79" s="62"/>
      <c r="B79" s="62"/>
      <c r="C79" s="62"/>
    </row>
    <row r="80" spans="1:3" ht="18" customHeight="1" thickBot="1">
      <c r="A80" s="62"/>
      <c r="B80" s="62"/>
      <c r="C80" s="62"/>
    </row>
    <row r="81" spans="1:3" ht="18" customHeight="1" thickBot="1">
      <c r="A81" s="62"/>
      <c r="B81" s="62"/>
      <c r="C81" s="62"/>
    </row>
  </sheetData>
  <mergeCells count="2">
    <mergeCell ref="A20:C20"/>
    <mergeCell ref="A2:B2"/>
  </mergeCells>
  <printOptions horizontalCentered="1"/>
  <pageMargins left="0.2" right="0.2" top="0.25" bottom="0.25" header="0.1" footer="0.1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"/>
  <sheetViews>
    <sheetView showGridLines="0" workbookViewId="0">
      <pane ySplit="7" topLeftCell="A10" activePane="bottomLeft" state="frozen"/>
      <selection pane="bottomLeft" sqref="A1:E1"/>
    </sheetView>
  </sheetViews>
  <sheetFormatPr baseColWidth="10" defaultColWidth="8.83203125" defaultRowHeight="14"/>
  <cols>
    <col min="1" max="1" width="18" customWidth="1"/>
    <col min="2" max="2" width="16" customWidth="1"/>
    <col min="3" max="4" width="18" customWidth="1"/>
    <col min="5" max="6" width="16" customWidth="1"/>
    <col min="7" max="7" width="18" customWidth="1"/>
    <col min="8" max="8" width="20" customWidth="1"/>
  </cols>
  <sheetData>
    <row r="1" spans="1:8" ht="34" customHeight="1">
      <c r="A1" s="84" t="s">
        <v>133</v>
      </c>
      <c r="B1" s="77"/>
      <c r="C1" s="77"/>
      <c r="D1" s="77"/>
      <c r="E1" s="77"/>
    </row>
    <row r="3" spans="1:8" ht="16" customHeight="1">
      <c r="A3" s="36" t="s">
        <v>134</v>
      </c>
    </row>
    <row r="4" spans="1:8" ht="15" customHeight="1">
      <c r="A4" s="37" t="s">
        <v>135</v>
      </c>
      <c r="B4" s="38" t="str">
        <f>IF(Einstellungen!B14="","",Einstellungen!B14)</f>
        <v/>
      </c>
    </row>
    <row r="5" spans="1:8" ht="15" customHeight="1">
      <c r="A5" s="37" t="s">
        <v>136</v>
      </c>
      <c r="B5" s="38">
        <f>IF(Einstellungen!B15="","",Einstellungen!B15)</f>
        <v>20</v>
      </c>
    </row>
    <row r="7" spans="1:8" ht="15" customHeight="1">
      <c r="A7" s="39" t="s">
        <v>2</v>
      </c>
      <c r="B7" s="39" t="s">
        <v>8</v>
      </c>
      <c r="C7" s="39" t="s">
        <v>21</v>
      </c>
      <c r="D7" s="39" t="s">
        <v>22</v>
      </c>
      <c r="E7" s="39" t="s">
        <v>9</v>
      </c>
      <c r="F7" s="39" t="s">
        <v>137</v>
      </c>
      <c r="G7" s="39" t="s">
        <v>138</v>
      </c>
      <c r="H7" s="39" t="s">
        <v>139</v>
      </c>
    </row>
    <row r="8" spans="1:8" ht="15" customHeight="1">
      <c r="A8" s="40">
        <f>DATE(2026,1,1)</f>
        <v>46023</v>
      </c>
      <c r="B8" s="41">
        <f>SUMIFS(Datenbasis!$E$13:$E$214,Datenbasis!$A$13:$A$214,"&gt;="&amp;A8,Datenbasis!$A$13:$A$214,"&lt;"&amp;EDATE(A8,1))</f>
        <v>0</v>
      </c>
      <c r="C8" s="41">
        <f>SUMIFS(Datenbasis!$L$13:$L$214,Datenbasis!$A$13:$A$214,"&gt;="&amp;A8,Datenbasis!$A$13:$A$214,"&lt;"&amp;EDATE(A8,1))</f>
        <v>0</v>
      </c>
      <c r="D8" s="42">
        <f>SUMIFS(Datenbasis!$M$13:$M$214,Datenbasis!$A$13:$A$214,"&gt;="&amp;A8,Datenbasis!$A$13:$A$214,"&lt;"&amp;EDATE(A8,1))</f>
        <v>0</v>
      </c>
      <c r="E8" s="42" t="str">
        <f>IF(Einstellungen!$B$14="","",Einstellungen!$B$14)</f>
        <v/>
      </c>
      <c r="F8" s="42" t="str">
        <f t="shared" ref="F8:F19" si="0">IF(E8="","",MAX(0,E8-B8))</f>
        <v/>
      </c>
      <c r="G8" s="72">
        <f>IF(C8="","",Einstellungen!$B$5)</f>
        <v>85</v>
      </c>
      <c r="H8" s="72">
        <f t="shared" ref="H8:H19" si="1">IF(C8="","",C8*G8)</f>
        <v>0</v>
      </c>
    </row>
    <row r="9" spans="1:8" ht="15" customHeight="1">
      <c r="A9" s="40">
        <f>DATE(2026,2,1)</f>
        <v>46054</v>
      </c>
      <c r="B9" s="41">
        <f>SUMIFS(Datenbasis!$E$13:$E$214,Datenbasis!$A$13:$A$214,"&gt;="&amp;A9,Datenbasis!$A$13:$A$214,"&lt;"&amp;EDATE(A9,1))</f>
        <v>0</v>
      </c>
      <c r="C9" s="41">
        <f>SUMIFS(Datenbasis!$L$13:$L$214,Datenbasis!$A$13:$A$214,"&gt;="&amp;A9,Datenbasis!$A$13:$A$214,"&lt;"&amp;EDATE(A9,1))</f>
        <v>0</v>
      </c>
      <c r="D9" s="42">
        <f>SUMIFS(Datenbasis!$M$13:$M$214,Datenbasis!$A$13:$A$214,"&gt;="&amp;A9,Datenbasis!$A$13:$A$214,"&lt;"&amp;EDATE(A9,1))</f>
        <v>0</v>
      </c>
      <c r="E9" s="42" t="str">
        <f>IF(Einstellungen!$B$14="","",Einstellungen!$B$14)</f>
        <v/>
      </c>
      <c r="F9" s="42" t="str">
        <f t="shared" si="0"/>
        <v/>
      </c>
      <c r="G9" s="72">
        <f>IF(C9="","",Einstellungen!$B$5)</f>
        <v>85</v>
      </c>
      <c r="H9" s="72">
        <f t="shared" si="1"/>
        <v>0</v>
      </c>
    </row>
    <row r="10" spans="1:8" ht="15" customHeight="1">
      <c r="A10" s="40">
        <f>DATE(2026,3,1)</f>
        <v>46082</v>
      </c>
      <c r="B10" s="41">
        <f>SUMIFS(Datenbasis!$E$13:$E$214,Datenbasis!$A$13:$A$214,"&gt;="&amp;A10,Datenbasis!$A$13:$A$214,"&lt;"&amp;EDATE(A10,1))</f>
        <v>0</v>
      </c>
      <c r="C10" s="41">
        <f>SUMIFS(Datenbasis!$L$13:$L$214,Datenbasis!$A$13:$A$214,"&gt;="&amp;A10,Datenbasis!$A$13:$A$214,"&lt;"&amp;EDATE(A10,1))</f>
        <v>0</v>
      </c>
      <c r="D10" s="42">
        <f>SUMIFS(Datenbasis!$M$13:$M$214,Datenbasis!$A$13:$A$214,"&gt;="&amp;A10,Datenbasis!$A$13:$A$214,"&lt;"&amp;EDATE(A10,1))</f>
        <v>0</v>
      </c>
      <c r="E10" s="42" t="str">
        <f>IF(Einstellungen!$B$14="","",Einstellungen!$B$14)</f>
        <v/>
      </c>
      <c r="F10" s="42" t="str">
        <f t="shared" si="0"/>
        <v/>
      </c>
      <c r="G10" s="72">
        <f>IF(C10="","",Einstellungen!$B$5)</f>
        <v>85</v>
      </c>
      <c r="H10" s="72">
        <f t="shared" si="1"/>
        <v>0</v>
      </c>
    </row>
    <row r="11" spans="1:8" ht="15" customHeight="1">
      <c r="A11" s="40">
        <f>DATE(2026,4,1)</f>
        <v>46113</v>
      </c>
      <c r="B11" s="41">
        <f>SUMIFS(Datenbasis!$E$13:$E$214,Datenbasis!$A$13:$A$214,"&gt;="&amp;A11,Datenbasis!$A$13:$A$214,"&lt;"&amp;EDATE(A11,1))</f>
        <v>0</v>
      </c>
      <c r="C11" s="41">
        <f>SUMIFS(Datenbasis!$L$13:$L$214,Datenbasis!$A$13:$A$214,"&gt;="&amp;A11,Datenbasis!$A$13:$A$214,"&lt;"&amp;EDATE(A11,1))</f>
        <v>0</v>
      </c>
      <c r="D11" s="42">
        <f>SUMIFS(Datenbasis!$M$13:$M$214,Datenbasis!$A$13:$A$214,"&gt;="&amp;A11,Datenbasis!$A$13:$A$214,"&lt;"&amp;EDATE(A11,1))</f>
        <v>0</v>
      </c>
      <c r="E11" s="42" t="str">
        <f>IF(Einstellungen!$B$14="","",Einstellungen!$B$14)</f>
        <v/>
      </c>
      <c r="F11" s="42" t="str">
        <f t="shared" si="0"/>
        <v/>
      </c>
      <c r="G11" s="72">
        <f>IF(C11="","",Einstellungen!$B$5)</f>
        <v>85</v>
      </c>
      <c r="H11" s="72">
        <f t="shared" si="1"/>
        <v>0</v>
      </c>
    </row>
    <row r="12" spans="1:8" ht="15" customHeight="1">
      <c r="A12" s="40">
        <f>DATE(2026,5,1)</f>
        <v>46143</v>
      </c>
      <c r="B12" s="41">
        <f>SUMIFS(Datenbasis!$E$13:$E$214,Datenbasis!$A$13:$A$214,"&gt;="&amp;A12,Datenbasis!$A$13:$A$214,"&lt;"&amp;EDATE(A12,1))</f>
        <v>0</v>
      </c>
      <c r="C12" s="41">
        <f>SUMIFS(Datenbasis!$L$13:$L$214,Datenbasis!$A$13:$A$214,"&gt;="&amp;A12,Datenbasis!$A$13:$A$214,"&lt;"&amp;EDATE(A12,1))</f>
        <v>0</v>
      </c>
      <c r="D12" s="42">
        <f>SUMIFS(Datenbasis!$M$13:$M$214,Datenbasis!$A$13:$A$214,"&gt;="&amp;A12,Datenbasis!$A$13:$A$214,"&lt;"&amp;EDATE(A12,1))</f>
        <v>0</v>
      </c>
      <c r="E12" s="42" t="str">
        <f>IF(Einstellungen!$B$14="","",Einstellungen!$B$14)</f>
        <v/>
      </c>
      <c r="F12" s="42" t="str">
        <f t="shared" si="0"/>
        <v/>
      </c>
      <c r="G12" s="72">
        <f>IF(C12="","",Einstellungen!$B$5)</f>
        <v>85</v>
      </c>
      <c r="H12" s="72">
        <f t="shared" si="1"/>
        <v>0</v>
      </c>
    </row>
    <row r="13" spans="1:8" ht="15" customHeight="1">
      <c r="A13" s="40">
        <f>DATE(2026,6,1)</f>
        <v>46174</v>
      </c>
      <c r="B13" s="41">
        <f>SUMIFS(Datenbasis!$E$13:$E$214,Datenbasis!$A$13:$A$214,"&gt;="&amp;A13,Datenbasis!$A$13:$A$214,"&lt;"&amp;EDATE(A13,1))</f>
        <v>35.65</v>
      </c>
      <c r="C13" s="41">
        <f>SUMIFS(Datenbasis!$L$13:$L$214,Datenbasis!$A$13:$A$214,"&gt;="&amp;A13,Datenbasis!$A$13:$A$214,"&lt;"&amp;EDATE(A13,1))</f>
        <v>35.65</v>
      </c>
      <c r="D13" s="42">
        <f>SUMIFS(Datenbasis!$M$13:$M$214,Datenbasis!$A$13:$A$214,"&gt;="&amp;A13,Datenbasis!$A$13:$A$214,"&lt;"&amp;EDATE(A13,1))</f>
        <v>0</v>
      </c>
      <c r="E13" s="42" t="str">
        <f>IF(Einstellungen!$B$14="","",Einstellungen!$B$14)</f>
        <v/>
      </c>
      <c r="F13" s="42" t="str">
        <f t="shared" si="0"/>
        <v/>
      </c>
      <c r="G13" s="72">
        <f>IF(C13="","",Einstellungen!$B$5)</f>
        <v>85</v>
      </c>
      <c r="H13" s="72">
        <f t="shared" si="1"/>
        <v>3030.25</v>
      </c>
    </row>
    <row r="14" spans="1:8" ht="15" customHeight="1">
      <c r="A14" s="40">
        <f>DATE(2026,7,1)</f>
        <v>46204</v>
      </c>
      <c r="B14" s="41">
        <f>SUMIFS(Datenbasis!$E$13:$E$214,Datenbasis!$A$13:$A$214,"&gt;="&amp;A14,Datenbasis!$A$13:$A$214,"&lt;"&amp;EDATE(A14,1))</f>
        <v>61.55</v>
      </c>
      <c r="C14" s="41">
        <f>SUMIFS(Datenbasis!$L$13:$L$214,Datenbasis!$A$13:$A$214,"&gt;="&amp;A14,Datenbasis!$A$13:$A$214,"&lt;"&amp;EDATE(A14,1))</f>
        <v>57</v>
      </c>
      <c r="D14" s="42">
        <f>SUMIFS(Datenbasis!$M$13:$M$214,Datenbasis!$A$13:$A$214,"&gt;="&amp;A14,Datenbasis!$A$13:$A$214,"&lt;"&amp;EDATE(A14,1))</f>
        <v>4.5499999999999972</v>
      </c>
      <c r="E14" s="42" t="str">
        <f>IF(Einstellungen!$B$14="","",Einstellungen!$B$14)</f>
        <v/>
      </c>
      <c r="F14" s="42" t="str">
        <f t="shared" si="0"/>
        <v/>
      </c>
      <c r="G14" s="72">
        <f>IF(C14="","",Einstellungen!$B$5)</f>
        <v>85</v>
      </c>
      <c r="H14" s="72">
        <f t="shared" si="1"/>
        <v>4845</v>
      </c>
    </row>
    <row r="15" spans="1:8" ht="15" customHeight="1">
      <c r="A15" s="40">
        <f>DATE(2026,8,1)</f>
        <v>46235</v>
      </c>
      <c r="B15" s="41">
        <f>SUMIFS(Datenbasis!$E$13:$E$214,Datenbasis!$A$13:$A$214,"&gt;="&amp;A15,Datenbasis!$A$13:$A$214,"&lt;"&amp;EDATE(A15,1))</f>
        <v>0</v>
      </c>
      <c r="C15" s="41">
        <f>SUMIFS(Datenbasis!$L$13:$L$214,Datenbasis!$A$13:$A$214,"&gt;="&amp;A15,Datenbasis!$A$13:$A$214,"&lt;"&amp;EDATE(A15,1))</f>
        <v>0</v>
      </c>
      <c r="D15" s="42">
        <f>SUMIFS(Datenbasis!$M$13:$M$214,Datenbasis!$A$13:$A$214,"&gt;="&amp;A15,Datenbasis!$A$13:$A$214,"&lt;"&amp;EDATE(A15,1))</f>
        <v>0</v>
      </c>
      <c r="E15" s="42" t="str">
        <f>IF(Einstellungen!$B$14="","",Einstellungen!$B$14)</f>
        <v/>
      </c>
      <c r="F15" s="42" t="str">
        <f t="shared" si="0"/>
        <v/>
      </c>
      <c r="G15" s="72">
        <f>IF(C15="","",Einstellungen!$B$5)</f>
        <v>85</v>
      </c>
      <c r="H15" s="72">
        <f t="shared" si="1"/>
        <v>0</v>
      </c>
    </row>
    <row r="16" spans="1:8" ht="15" customHeight="1">
      <c r="A16" s="40">
        <f>DATE(2026,9,1)</f>
        <v>46266</v>
      </c>
      <c r="B16" s="41">
        <f>SUMIFS(Datenbasis!$E$13:$E$214,Datenbasis!$A$13:$A$214,"&gt;="&amp;A16,Datenbasis!$A$13:$A$214,"&lt;"&amp;EDATE(A16,1))</f>
        <v>0</v>
      </c>
      <c r="C16" s="41">
        <f>SUMIFS(Datenbasis!$L$13:$L$214,Datenbasis!$A$13:$A$214,"&gt;="&amp;A16,Datenbasis!$A$13:$A$214,"&lt;"&amp;EDATE(A16,1))</f>
        <v>0</v>
      </c>
      <c r="D16" s="42">
        <f>SUMIFS(Datenbasis!$M$13:$M$214,Datenbasis!$A$13:$A$214,"&gt;="&amp;A16,Datenbasis!$A$13:$A$214,"&lt;"&amp;EDATE(A16,1))</f>
        <v>0</v>
      </c>
      <c r="E16" s="42" t="str">
        <f>IF(Einstellungen!$B$14="","",Einstellungen!$B$14)</f>
        <v/>
      </c>
      <c r="F16" s="42" t="str">
        <f t="shared" si="0"/>
        <v/>
      </c>
      <c r="G16" s="72">
        <f>IF(C16="","",Einstellungen!$B$5)</f>
        <v>85</v>
      </c>
      <c r="H16" s="72">
        <f t="shared" si="1"/>
        <v>0</v>
      </c>
    </row>
    <row r="17" spans="1:8" ht="15" customHeight="1">
      <c r="A17" s="40">
        <f>DATE(2026,10,1)</f>
        <v>46296</v>
      </c>
      <c r="B17" s="41">
        <f>SUMIFS(Datenbasis!$E$13:$E$214,Datenbasis!$A$13:$A$214,"&gt;="&amp;A17,Datenbasis!$A$13:$A$214,"&lt;"&amp;EDATE(A17,1))</f>
        <v>0</v>
      </c>
      <c r="C17" s="41">
        <f>SUMIFS(Datenbasis!$L$13:$L$214,Datenbasis!$A$13:$A$214,"&gt;="&amp;A17,Datenbasis!$A$13:$A$214,"&lt;"&amp;EDATE(A17,1))</f>
        <v>0</v>
      </c>
      <c r="D17" s="42">
        <f>SUMIFS(Datenbasis!$M$13:$M$214,Datenbasis!$A$13:$A$214,"&gt;="&amp;A17,Datenbasis!$A$13:$A$214,"&lt;"&amp;EDATE(A17,1))</f>
        <v>0</v>
      </c>
      <c r="E17" s="42" t="str">
        <f>IF(Einstellungen!$B$14="","",Einstellungen!$B$14)</f>
        <v/>
      </c>
      <c r="F17" s="42" t="str">
        <f t="shared" si="0"/>
        <v/>
      </c>
      <c r="G17" s="72">
        <f>IF(C17="","",Einstellungen!$B$5)</f>
        <v>85</v>
      </c>
      <c r="H17" s="72">
        <f t="shared" si="1"/>
        <v>0</v>
      </c>
    </row>
    <row r="18" spans="1:8" ht="15" customHeight="1">
      <c r="A18" s="40">
        <f>DATE(2026,11,1)</f>
        <v>46327</v>
      </c>
      <c r="B18" s="41">
        <f>SUMIFS(Datenbasis!$E$13:$E$214,Datenbasis!$A$13:$A$214,"&gt;="&amp;A18,Datenbasis!$A$13:$A$214,"&lt;"&amp;EDATE(A18,1))</f>
        <v>0</v>
      </c>
      <c r="C18" s="41">
        <f>SUMIFS(Datenbasis!$L$13:$L$214,Datenbasis!$A$13:$A$214,"&gt;="&amp;A18,Datenbasis!$A$13:$A$214,"&lt;"&amp;EDATE(A18,1))</f>
        <v>0</v>
      </c>
      <c r="D18" s="42">
        <f>SUMIFS(Datenbasis!$M$13:$M$214,Datenbasis!$A$13:$A$214,"&gt;="&amp;A18,Datenbasis!$A$13:$A$214,"&lt;"&amp;EDATE(A18,1))</f>
        <v>0</v>
      </c>
      <c r="E18" s="42" t="str">
        <f>IF(Einstellungen!$B$14="","",Einstellungen!$B$14)</f>
        <v/>
      </c>
      <c r="F18" s="42" t="str">
        <f t="shared" si="0"/>
        <v/>
      </c>
      <c r="G18" s="72">
        <f>IF(C18="","",Einstellungen!$B$5)</f>
        <v>85</v>
      </c>
      <c r="H18" s="72">
        <f t="shared" si="1"/>
        <v>0</v>
      </c>
    </row>
    <row r="19" spans="1:8" ht="15" customHeight="1">
      <c r="A19" s="40">
        <f>DATE(2026,12,1)</f>
        <v>46357</v>
      </c>
      <c r="B19" s="41">
        <f>SUMIFS(Datenbasis!$E$13:$E$214,Datenbasis!$A$13:$A$214,"&gt;="&amp;A19,Datenbasis!$A$13:$A$214,"&lt;"&amp;EDATE(A19,1))</f>
        <v>0</v>
      </c>
      <c r="C19" s="41">
        <f>SUMIFS(Datenbasis!$L$13:$L$214,Datenbasis!$A$13:$A$214,"&gt;="&amp;A19,Datenbasis!$A$13:$A$214,"&lt;"&amp;EDATE(A19,1))</f>
        <v>0</v>
      </c>
      <c r="D19" s="42">
        <f>SUMIFS(Datenbasis!$M$13:$M$214,Datenbasis!$A$13:$A$214,"&gt;="&amp;A19,Datenbasis!$A$13:$A$214,"&lt;"&amp;EDATE(A19,1))</f>
        <v>0</v>
      </c>
      <c r="E19" s="42" t="str">
        <f>IF(Einstellungen!$B$14="","",Einstellungen!$B$14)</f>
        <v/>
      </c>
      <c r="F19" s="42" t="str">
        <f t="shared" si="0"/>
        <v/>
      </c>
      <c r="G19" s="72">
        <f>IF(C19="","",Einstellungen!$B$5)</f>
        <v>85</v>
      </c>
      <c r="H19" s="72">
        <f t="shared" si="1"/>
        <v>0</v>
      </c>
    </row>
    <row r="22" spans="1:8" ht="15" customHeight="1">
      <c r="A22" s="39" t="s">
        <v>18</v>
      </c>
      <c r="B22" s="39" t="s">
        <v>8</v>
      </c>
      <c r="C22" s="39" t="s">
        <v>21</v>
      </c>
      <c r="D22" s="39" t="s">
        <v>22</v>
      </c>
      <c r="E22" s="39" t="s">
        <v>9</v>
      </c>
      <c r="F22" s="39" t="s">
        <v>137</v>
      </c>
      <c r="G22" s="39" t="s">
        <v>138</v>
      </c>
      <c r="H22" s="39" t="s">
        <v>139</v>
      </c>
    </row>
    <row r="23" spans="1:8" ht="15" customHeight="1">
      <c r="A23" s="43">
        <v>1</v>
      </c>
      <c r="B23" s="41" t="str">
        <f>IF(SUMIFS(Datenbasis!$E$13:$E$214,Datenbasis!$H$13:$H$214,A23)=0,"",SUMIFS(Datenbasis!$E$13:$E$214,Datenbasis!$H$13:$H$214,A23))</f>
        <v/>
      </c>
      <c r="C23" s="41" t="str">
        <f>IF(B23="","",SUMIFS(Datenbasis!$L$13:$L$214,Datenbasis!$H$13:$H$214,A23))</f>
        <v/>
      </c>
      <c r="D23" s="42" t="str">
        <f>IF(B23="","",SUMIFS(Datenbasis!$M$13:$M$214,Datenbasis!$H$13:$H$214,A23))</f>
        <v/>
      </c>
      <c r="E23" s="42" t="str">
        <f>IF(OR(B23="",Einstellungen!$B$15=""),"",Einstellungen!$B$15)</f>
        <v/>
      </c>
      <c r="F23" s="42" t="str">
        <f t="shared" ref="F23:F54" si="2">IF(E23="","",MAX(0,E23-B23))</f>
        <v/>
      </c>
      <c r="G23" s="72" t="str">
        <f>IF(C23="","",Einstellungen!$B$5)</f>
        <v/>
      </c>
      <c r="H23" s="72" t="str">
        <f t="shared" ref="H23:H54" si="3">IF(C23="","",C23*G23)</f>
        <v/>
      </c>
    </row>
    <row r="24" spans="1:8" ht="15" customHeight="1">
      <c r="A24" s="43">
        <v>2</v>
      </c>
      <c r="B24" s="41" t="str">
        <f>IF(SUMIFS(Datenbasis!$E$13:$E$214,Datenbasis!$H$13:$H$214,A24)=0,"",SUMIFS(Datenbasis!$E$13:$E$214,Datenbasis!$H$13:$H$214,A24))</f>
        <v/>
      </c>
      <c r="C24" s="41" t="str">
        <f>IF(B24="","",SUMIFS(Datenbasis!$L$13:$L$214,Datenbasis!$H$13:$H$214,A24))</f>
        <v/>
      </c>
      <c r="D24" s="42" t="str">
        <f>IF(B24="","",SUMIFS(Datenbasis!$M$13:$M$214,Datenbasis!$H$13:$H$214,A24))</f>
        <v/>
      </c>
      <c r="E24" s="42" t="str">
        <f>IF(OR(B24="",Einstellungen!$B$15=""),"",Einstellungen!$B$15)</f>
        <v/>
      </c>
      <c r="F24" s="42" t="str">
        <f t="shared" si="2"/>
        <v/>
      </c>
      <c r="G24" s="72" t="str">
        <f>IF(C24="","",Einstellungen!$B$5)</f>
        <v/>
      </c>
      <c r="H24" s="72" t="str">
        <f t="shared" si="3"/>
        <v/>
      </c>
    </row>
    <row r="25" spans="1:8" ht="15" customHeight="1">
      <c r="A25" s="43">
        <v>3</v>
      </c>
      <c r="B25" s="41" t="str">
        <f>IF(SUMIFS(Datenbasis!$E$13:$E$214,Datenbasis!$H$13:$H$214,A25)=0,"",SUMIFS(Datenbasis!$E$13:$E$214,Datenbasis!$H$13:$H$214,A25))</f>
        <v/>
      </c>
      <c r="C25" s="41" t="str">
        <f>IF(B25="","",SUMIFS(Datenbasis!$L$13:$L$214,Datenbasis!$H$13:$H$214,A25))</f>
        <v/>
      </c>
      <c r="D25" s="42" t="str">
        <f>IF(B25="","",SUMIFS(Datenbasis!$M$13:$M$214,Datenbasis!$H$13:$H$214,A25))</f>
        <v/>
      </c>
      <c r="E25" s="42" t="str">
        <f>IF(OR(B25="",Einstellungen!$B$15=""),"",Einstellungen!$B$15)</f>
        <v/>
      </c>
      <c r="F25" s="42" t="str">
        <f t="shared" si="2"/>
        <v/>
      </c>
      <c r="G25" s="72" t="str">
        <f>IF(C25="","",Einstellungen!$B$5)</f>
        <v/>
      </c>
      <c r="H25" s="72" t="str">
        <f t="shared" si="3"/>
        <v/>
      </c>
    </row>
    <row r="26" spans="1:8" ht="15" customHeight="1">
      <c r="A26" s="43">
        <v>4</v>
      </c>
      <c r="B26" s="41" t="str">
        <f>IF(SUMIFS(Datenbasis!$E$13:$E$214,Datenbasis!$H$13:$H$214,A26)=0,"",SUMIFS(Datenbasis!$E$13:$E$214,Datenbasis!$H$13:$H$214,A26))</f>
        <v/>
      </c>
      <c r="C26" s="41" t="str">
        <f>IF(B26="","",SUMIFS(Datenbasis!$L$13:$L$214,Datenbasis!$H$13:$H$214,A26))</f>
        <v/>
      </c>
      <c r="D26" s="42" t="str">
        <f>IF(B26="","",SUMIFS(Datenbasis!$M$13:$M$214,Datenbasis!$H$13:$H$214,A26))</f>
        <v/>
      </c>
      <c r="E26" s="42" t="str">
        <f>IF(OR(B26="",Einstellungen!$B$15=""),"",Einstellungen!$B$15)</f>
        <v/>
      </c>
      <c r="F26" s="42" t="str">
        <f t="shared" si="2"/>
        <v/>
      </c>
      <c r="G26" s="72" t="str">
        <f>IF(C26="","",Einstellungen!$B$5)</f>
        <v/>
      </c>
      <c r="H26" s="72" t="str">
        <f t="shared" si="3"/>
        <v/>
      </c>
    </row>
    <row r="27" spans="1:8" ht="15" customHeight="1">
      <c r="A27" s="43">
        <v>5</v>
      </c>
      <c r="B27" s="41" t="str">
        <f>IF(SUMIFS(Datenbasis!$E$13:$E$214,Datenbasis!$H$13:$H$214,A27)=0,"",SUMIFS(Datenbasis!$E$13:$E$214,Datenbasis!$H$13:$H$214,A27))</f>
        <v/>
      </c>
      <c r="C27" s="41" t="str">
        <f>IF(B27="","",SUMIFS(Datenbasis!$L$13:$L$214,Datenbasis!$H$13:$H$214,A27))</f>
        <v/>
      </c>
      <c r="D27" s="42" t="str">
        <f>IF(B27="","",SUMIFS(Datenbasis!$M$13:$M$214,Datenbasis!$H$13:$H$214,A27))</f>
        <v/>
      </c>
      <c r="E27" s="42" t="str">
        <f>IF(OR(B27="",Einstellungen!$B$15=""),"",Einstellungen!$B$15)</f>
        <v/>
      </c>
      <c r="F27" s="42" t="str">
        <f t="shared" si="2"/>
        <v/>
      </c>
      <c r="G27" s="72" t="str">
        <f>IF(C27="","",Einstellungen!$B$5)</f>
        <v/>
      </c>
      <c r="H27" s="72" t="str">
        <f t="shared" si="3"/>
        <v/>
      </c>
    </row>
    <row r="28" spans="1:8" ht="15" customHeight="1">
      <c r="A28" s="43">
        <v>6</v>
      </c>
      <c r="B28" s="41" t="str">
        <f>IF(SUMIFS(Datenbasis!$E$13:$E$214,Datenbasis!$H$13:$H$214,A28)=0,"",SUMIFS(Datenbasis!$E$13:$E$214,Datenbasis!$H$13:$H$214,A28))</f>
        <v/>
      </c>
      <c r="C28" s="41" t="str">
        <f>IF(B28="","",SUMIFS(Datenbasis!$L$13:$L$214,Datenbasis!$H$13:$H$214,A28))</f>
        <v/>
      </c>
      <c r="D28" s="42" t="str">
        <f>IF(B28="","",SUMIFS(Datenbasis!$M$13:$M$214,Datenbasis!$H$13:$H$214,A28))</f>
        <v/>
      </c>
      <c r="E28" s="42" t="str">
        <f>IF(OR(B28="",Einstellungen!$B$15=""),"",Einstellungen!$B$15)</f>
        <v/>
      </c>
      <c r="F28" s="42" t="str">
        <f t="shared" si="2"/>
        <v/>
      </c>
      <c r="G28" s="72" t="str">
        <f>IF(C28="","",Einstellungen!$B$5)</f>
        <v/>
      </c>
      <c r="H28" s="72" t="str">
        <f t="shared" si="3"/>
        <v/>
      </c>
    </row>
    <row r="29" spans="1:8" ht="15" customHeight="1">
      <c r="A29" s="43">
        <v>7</v>
      </c>
      <c r="B29" s="41" t="str">
        <f>IF(SUMIFS(Datenbasis!$E$13:$E$214,Datenbasis!$H$13:$H$214,A29)=0,"",SUMIFS(Datenbasis!$E$13:$E$214,Datenbasis!$H$13:$H$214,A29))</f>
        <v/>
      </c>
      <c r="C29" s="41" t="str">
        <f>IF(B29="","",SUMIFS(Datenbasis!$L$13:$L$214,Datenbasis!$H$13:$H$214,A29))</f>
        <v/>
      </c>
      <c r="D29" s="42" t="str">
        <f>IF(B29="","",SUMIFS(Datenbasis!$M$13:$M$214,Datenbasis!$H$13:$H$214,A29))</f>
        <v/>
      </c>
      <c r="E29" s="42" t="str">
        <f>IF(OR(B29="",Einstellungen!$B$15=""),"",Einstellungen!$B$15)</f>
        <v/>
      </c>
      <c r="F29" s="42" t="str">
        <f t="shared" si="2"/>
        <v/>
      </c>
      <c r="G29" s="72" t="str">
        <f>IF(C29="","",Einstellungen!$B$5)</f>
        <v/>
      </c>
      <c r="H29" s="72" t="str">
        <f t="shared" si="3"/>
        <v/>
      </c>
    </row>
    <row r="30" spans="1:8" ht="15" customHeight="1">
      <c r="A30" s="43">
        <v>8</v>
      </c>
      <c r="B30" s="41" t="str">
        <f>IF(SUMIFS(Datenbasis!$E$13:$E$214,Datenbasis!$H$13:$H$214,A30)=0,"",SUMIFS(Datenbasis!$E$13:$E$214,Datenbasis!$H$13:$H$214,A30))</f>
        <v/>
      </c>
      <c r="C30" s="41" t="str">
        <f>IF(B30="","",SUMIFS(Datenbasis!$L$13:$L$214,Datenbasis!$H$13:$H$214,A30))</f>
        <v/>
      </c>
      <c r="D30" s="42" t="str">
        <f>IF(B30="","",SUMIFS(Datenbasis!$M$13:$M$214,Datenbasis!$H$13:$H$214,A30))</f>
        <v/>
      </c>
      <c r="E30" s="42" t="str">
        <f>IF(OR(B30="",Einstellungen!$B$15=""),"",Einstellungen!$B$15)</f>
        <v/>
      </c>
      <c r="F30" s="42" t="str">
        <f t="shared" si="2"/>
        <v/>
      </c>
      <c r="G30" s="72" t="str">
        <f>IF(C30="","",Einstellungen!$B$5)</f>
        <v/>
      </c>
      <c r="H30" s="72" t="str">
        <f t="shared" si="3"/>
        <v/>
      </c>
    </row>
    <row r="31" spans="1:8" ht="15" customHeight="1">
      <c r="A31" s="43">
        <v>9</v>
      </c>
      <c r="B31" s="41" t="str">
        <f>IF(SUMIFS(Datenbasis!$E$13:$E$214,Datenbasis!$H$13:$H$214,A31)=0,"",SUMIFS(Datenbasis!$E$13:$E$214,Datenbasis!$H$13:$H$214,A31))</f>
        <v/>
      </c>
      <c r="C31" s="41" t="str">
        <f>IF(B31="","",SUMIFS(Datenbasis!$L$13:$L$214,Datenbasis!$H$13:$H$214,A31))</f>
        <v/>
      </c>
      <c r="D31" s="42" t="str">
        <f>IF(B31="","",SUMIFS(Datenbasis!$M$13:$M$214,Datenbasis!$H$13:$H$214,A31))</f>
        <v/>
      </c>
      <c r="E31" s="42" t="str">
        <f>IF(OR(B31="",Einstellungen!$B$15=""),"",Einstellungen!$B$15)</f>
        <v/>
      </c>
      <c r="F31" s="42" t="str">
        <f t="shared" si="2"/>
        <v/>
      </c>
      <c r="G31" s="72" t="str">
        <f>IF(C31="","",Einstellungen!$B$5)</f>
        <v/>
      </c>
      <c r="H31" s="72" t="str">
        <f t="shared" si="3"/>
        <v/>
      </c>
    </row>
    <row r="32" spans="1:8" ht="15" customHeight="1">
      <c r="A32" s="43">
        <v>10</v>
      </c>
      <c r="B32" s="41" t="str">
        <f>IF(SUMIFS(Datenbasis!$E$13:$E$214,Datenbasis!$H$13:$H$214,A32)=0,"",SUMIFS(Datenbasis!$E$13:$E$214,Datenbasis!$H$13:$H$214,A32))</f>
        <v/>
      </c>
      <c r="C32" s="41" t="str">
        <f>IF(B32="","",SUMIFS(Datenbasis!$L$13:$L$214,Datenbasis!$H$13:$H$214,A32))</f>
        <v/>
      </c>
      <c r="D32" s="42" t="str">
        <f>IF(B32="","",SUMIFS(Datenbasis!$M$13:$M$214,Datenbasis!$H$13:$H$214,A32))</f>
        <v/>
      </c>
      <c r="E32" s="42" t="str">
        <f>IF(OR(B32="",Einstellungen!$B$15=""),"",Einstellungen!$B$15)</f>
        <v/>
      </c>
      <c r="F32" s="42" t="str">
        <f t="shared" si="2"/>
        <v/>
      </c>
      <c r="G32" s="72" t="str">
        <f>IF(C32="","",Einstellungen!$B$5)</f>
        <v/>
      </c>
      <c r="H32" s="72" t="str">
        <f t="shared" si="3"/>
        <v/>
      </c>
    </row>
    <row r="33" spans="1:8" ht="15" customHeight="1">
      <c r="A33" s="43">
        <v>11</v>
      </c>
      <c r="B33" s="41" t="str">
        <f>IF(SUMIFS(Datenbasis!$E$13:$E$214,Datenbasis!$H$13:$H$214,A33)=0,"",SUMIFS(Datenbasis!$E$13:$E$214,Datenbasis!$H$13:$H$214,A33))</f>
        <v/>
      </c>
      <c r="C33" s="41" t="str">
        <f>IF(B33="","",SUMIFS(Datenbasis!$L$13:$L$214,Datenbasis!$H$13:$H$214,A33))</f>
        <v/>
      </c>
      <c r="D33" s="42" t="str">
        <f>IF(B33="","",SUMIFS(Datenbasis!$M$13:$M$214,Datenbasis!$H$13:$H$214,A33))</f>
        <v/>
      </c>
      <c r="E33" s="42" t="str">
        <f>IF(OR(B33="",Einstellungen!$B$15=""),"",Einstellungen!$B$15)</f>
        <v/>
      </c>
      <c r="F33" s="42" t="str">
        <f t="shared" si="2"/>
        <v/>
      </c>
      <c r="G33" s="72" t="str">
        <f>IF(C33="","",Einstellungen!$B$5)</f>
        <v/>
      </c>
      <c r="H33" s="72" t="str">
        <f t="shared" si="3"/>
        <v/>
      </c>
    </row>
    <row r="34" spans="1:8" ht="15" customHeight="1">
      <c r="A34" s="43">
        <v>12</v>
      </c>
      <c r="B34" s="41" t="str">
        <f>IF(SUMIFS(Datenbasis!$E$13:$E$214,Datenbasis!$H$13:$H$214,A34)=0,"",SUMIFS(Datenbasis!$E$13:$E$214,Datenbasis!$H$13:$H$214,A34))</f>
        <v/>
      </c>
      <c r="C34" s="41" t="str">
        <f>IF(B34="","",SUMIFS(Datenbasis!$L$13:$L$214,Datenbasis!$H$13:$H$214,A34))</f>
        <v/>
      </c>
      <c r="D34" s="42" t="str">
        <f>IF(B34="","",SUMIFS(Datenbasis!$M$13:$M$214,Datenbasis!$H$13:$H$214,A34))</f>
        <v/>
      </c>
      <c r="E34" s="42" t="str">
        <f>IF(OR(B34="",Einstellungen!$B$15=""),"",Einstellungen!$B$15)</f>
        <v/>
      </c>
      <c r="F34" s="42" t="str">
        <f t="shared" si="2"/>
        <v/>
      </c>
      <c r="G34" s="72" t="str">
        <f>IF(C34="","",Einstellungen!$B$5)</f>
        <v/>
      </c>
      <c r="H34" s="72" t="str">
        <f t="shared" si="3"/>
        <v/>
      </c>
    </row>
    <row r="35" spans="1:8" ht="15" customHeight="1">
      <c r="A35" s="43">
        <v>13</v>
      </c>
      <c r="B35" s="41" t="str">
        <f>IF(SUMIFS(Datenbasis!$E$13:$E$214,Datenbasis!$H$13:$H$214,A35)=0,"",SUMIFS(Datenbasis!$E$13:$E$214,Datenbasis!$H$13:$H$214,A35))</f>
        <v/>
      </c>
      <c r="C35" s="41" t="str">
        <f>IF(B35="","",SUMIFS(Datenbasis!$L$13:$L$214,Datenbasis!$H$13:$H$214,A35))</f>
        <v/>
      </c>
      <c r="D35" s="42" t="str">
        <f>IF(B35="","",SUMIFS(Datenbasis!$M$13:$M$214,Datenbasis!$H$13:$H$214,A35))</f>
        <v/>
      </c>
      <c r="E35" s="42" t="str">
        <f>IF(OR(B35="",Einstellungen!$B$15=""),"",Einstellungen!$B$15)</f>
        <v/>
      </c>
      <c r="F35" s="42" t="str">
        <f t="shared" si="2"/>
        <v/>
      </c>
      <c r="G35" s="72" t="str">
        <f>IF(C35="","",Einstellungen!$B$5)</f>
        <v/>
      </c>
      <c r="H35" s="72" t="str">
        <f t="shared" si="3"/>
        <v/>
      </c>
    </row>
    <row r="36" spans="1:8" ht="15" customHeight="1">
      <c r="A36" s="43">
        <v>14</v>
      </c>
      <c r="B36" s="41" t="str">
        <f>IF(SUMIFS(Datenbasis!$E$13:$E$214,Datenbasis!$H$13:$H$214,A36)=0,"",SUMIFS(Datenbasis!$E$13:$E$214,Datenbasis!$H$13:$H$214,A36))</f>
        <v/>
      </c>
      <c r="C36" s="41" t="str">
        <f>IF(B36="","",SUMIFS(Datenbasis!$L$13:$L$214,Datenbasis!$H$13:$H$214,A36))</f>
        <v/>
      </c>
      <c r="D36" s="42" t="str">
        <f>IF(B36="","",SUMIFS(Datenbasis!$M$13:$M$214,Datenbasis!$H$13:$H$214,A36))</f>
        <v/>
      </c>
      <c r="E36" s="42" t="str">
        <f>IF(OR(B36="",Einstellungen!$B$15=""),"",Einstellungen!$B$15)</f>
        <v/>
      </c>
      <c r="F36" s="42" t="str">
        <f t="shared" si="2"/>
        <v/>
      </c>
      <c r="G36" s="72" t="str">
        <f>IF(C36="","",Einstellungen!$B$5)</f>
        <v/>
      </c>
      <c r="H36" s="72" t="str">
        <f t="shared" si="3"/>
        <v/>
      </c>
    </row>
    <row r="37" spans="1:8" ht="15" customHeight="1">
      <c r="A37" s="43">
        <v>15</v>
      </c>
      <c r="B37" s="41" t="str">
        <f>IF(SUMIFS(Datenbasis!$E$13:$E$214,Datenbasis!$H$13:$H$214,A37)=0,"",SUMIFS(Datenbasis!$E$13:$E$214,Datenbasis!$H$13:$H$214,A37))</f>
        <v/>
      </c>
      <c r="C37" s="41" t="str">
        <f>IF(B37="","",SUMIFS(Datenbasis!$L$13:$L$214,Datenbasis!$H$13:$H$214,A37))</f>
        <v/>
      </c>
      <c r="D37" s="42" t="str">
        <f>IF(B37="","",SUMIFS(Datenbasis!$M$13:$M$214,Datenbasis!$H$13:$H$214,A37))</f>
        <v/>
      </c>
      <c r="E37" s="42" t="str">
        <f>IF(OR(B37="",Einstellungen!$B$15=""),"",Einstellungen!$B$15)</f>
        <v/>
      </c>
      <c r="F37" s="42" t="str">
        <f t="shared" si="2"/>
        <v/>
      </c>
      <c r="G37" s="72" t="str">
        <f>IF(C37="","",Einstellungen!$B$5)</f>
        <v/>
      </c>
      <c r="H37" s="72" t="str">
        <f t="shared" si="3"/>
        <v/>
      </c>
    </row>
    <row r="38" spans="1:8" ht="15" customHeight="1">
      <c r="A38" s="43">
        <v>16</v>
      </c>
      <c r="B38" s="41" t="str">
        <f>IF(SUMIFS(Datenbasis!$E$13:$E$214,Datenbasis!$H$13:$H$214,A38)=0,"",SUMIFS(Datenbasis!$E$13:$E$214,Datenbasis!$H$13:$H$214,A38))</f>
        <v/>
      </c>
      <c r="C38" s="41" t="str">
        <f>IF(B38="","",SUMIFS(Datenbasis!$L$13:$L$214,Datenbasis!$H$13:$H$214,A38))</f>
        <v/>
      </c>
      <c r="D38" s="42" t="str">
        <f>IF(B38="","",SUMIFS(Datenbasis!$M$13:$M$214,Datenbasis!$H$13:$H$214,A38))</f>
        <v/>
      </c>
      <c r="E38" s="42" t="str">
        <f>IF(OR(B38="",Einstellungen!$B$15=""),"",Einstellungen!$B$15)</f>
        <v/>
      </c>
      <c r="F38" s="42" t="str">
        <f t="shared" si="2"/>
        <v/>
      </c>
      <c r="G38" s="72" t="str">
        <f>IF(C38="","",Einstellungen!$B$5)</f>
        <v/>
      </c>
      <c r="H38" s="72" t="str">
        <f t="shared" si="3"/>
        <v/>
      </c>
    </row>
    <row r="39" spans="1:8" ht="15" customHeight="1">
      <c r="A39" s="43">
        <v>17</v>
      </c>
      <c r="B39" s="41" t="str">
        <f>IF(SUMIFS(Datenbasis!$E$13:$E$214,Datenbasis!$H$13:$H$214,A39)=0,"",SUMIFS(Datenbasis!$E$13:$E$214,Datenbasis!$H$13:$H$214,A39))</f>
        <v/>
      </c>
      <c r="C39" s="41" t="str">
        <f>IF(B39="","",SUMIFS(Datenbasis!$L$13:$L$214,Datenbasis!$H$13:$H$214,A39))</f>
        <v/>
      </c>
      <c r="D39" s="42" t="str">
        <f>IF(B39="","",SUMIFS(Datenbasis!$M$13:$M$214,Datenbasis!$H$13:$H$214,A39))</f>
        <v/>
      </c>
      <c r="E39" s="42" t="str">
        <f>IF(OR(B39="",Einstellungen!$B$15=""),"",Einstellungen!$B$15)</f>
        <v/>
      </c>
      <c r="F39" s="42" t="str">
        <f t="shared" si="2"/>
        <v/>
      </c>
      <c r="G39" s="72" t="str">
        <f>IF(C39="","",Einstellungen!$B$5)</f>
        <v/>
      </c>
      <c r="H39" s="72" t="str">
        <f t="shared" si="3"/>
        <v/>
      </c>
    </row>
    <row r="40" spans="1:8" ht="15" customHeight="1">
      <c r="A40" s="43">
        <v>18</v>
      </c>
      <c r="B40" s="41" t="str">
        <f>IF(SUMIFS(Datenbasis!$E$13:$E$214,Datenbasis!$H$13:$H$214,A40)=0,"",SUMIFS(Datenbasis!$E$13:$E$214,Datenbasis!$H$13:$H$214,A40))</f>
        <v/>
      </c>
      <c r="C40" s="41" t="str">
        <f>IF(B40="","",SUMIFS(Datenbasis!$L$13:$L$214,Datenbasis!$H$13:$H$214,A40))</f>
        <v/>
      </c>
      <c r="D40" s="42" t="str">
        <f>IF(B40="","",SUMIFS(Datenbasis!$M$13:$M$214,Datenbasis!$H$13:$H$214,A40))</f>
        <v/>
      </c>
      <c r="E40" s="42" t="str">
        <f>IF(OR(B40="",Einstellungen!$B$15=""),"",Einstellungen!$B$15)</f>
        <v/>
      </c>
      <c r="F40" s="42" t="str">
        <f t="shared" si="2"/>
        <v/>
      </c>
      <c r="G40" s="72" t="str">
        <f>IF(C40="","",Einstellungen!$B$5)</f>
        <v/>
      </c>
      <c r="H40" s="72" t="str">
        <f t="shared" si="3"/>
        <v/>
      </c>
    </row>
    <row r="41" spans="1:8" ht="15" customHeight="1">
      <c r="A41" s="43">
        <v>19</v>
      </c>
      <c r="B41" s="41" t="str">
        <f>IF(SUMIFS(Datenbasis!$E$13:$E$214,Datenbasis!$H$13:$H$214,A41)=0,"",SUMIFS(Datenbasis!$E$13:$E$214,Datenbasis!$H$13:$H$214,A41))</f>
        <v/>
      </c>
      <c r="C41" s="41" t="str">
        <f>IF(B41="","",SUMIFS(Datenbasis!$L$13:$L$214,Datenbasis!$H$13:$H$214,A41))</f>
        <v/>
      </c>
      <c r="D41" s="42" t="str">
        <f>IF(B41="","",SUMIFS(Datenbasis!$M$13:$M$214,Datenbasis!$H$13:$H$214,A41))</f>
        <v/>
      </c>
      <c r="E41" s="42" t="str">
        <f>IF(OR(B41="",Einstellungen!$B$15=""),"",Einstellungen!$B$15)</f>
        <v/>
      </c>
      <c r="F41" s="42" t="str">
        <f t="shared" si="2"/>
        <v/>
      </c>
      <c r="G41" s="72" t="str">
        <f>IF(C41="","",Einstellungen!$B$5)</f>
        <v/>
      </c>
      <c r="H41" s="72" t="str">
        <f t="shared" si="3"/>
        <v/>
      </c>
    </row>
    <row r="42" spans="1:8" ht="15" customHeight="1">
      <c r="A42" s="43">
        <v>20</v>
      </c>
      <c r="B42" s="41" t="str">
        <f>IF(SUMIFS(Datenbasis!$E$13:$E$214,Datenbasis!$H$13:$H$214,A42)=0,"",SUMIFS(Datenbasis!$E$13:$E$214,Datenbasis!$H$13:$H$214,A42))</f>
        <v/>
      </c>
      <c r="C42" s="41" t="str">
        <f>IF(B42="","",SUMIFS(Datenbasis!$L$13:$L$214,Datenbasis!$H$13:$H$214,A42))</f>
        <v/>
      </c>
      <c r="D42" s="42" t="str">
        <f>IF(B42="","",SUMIFS(Datenbasis!$M$13:$M$214,Datenbasis!$H$13:$H$214,A42))</f>
        <v/>
      </c>
      <c r="E42" s="42" t="str">
        <f>IF(OR(B42="",Einstellungen!$B$15=""),"",Einstellungen!$B$15)</f>
        <v/>
      </c>
      <c r="F42" s="42" t="str">
        <f t="shared" si="2"/>
        <v/>
      </c>
      <c r="G42" s="72" t="str">
        <f>IF(C42="","",Einstellungen!$B$5)</f>
        <v/>
      </c>
      <c r="H42" s="72" t="str">
        <f t="shared" si="3"/>
        <v/>
      </c>
    </row>
    <row r="43" spans="1:8" ht="15" customHeight="1">
      <c r="A43" s="43">
        <v>21</v>
      </c>
      <c r="B43" s="41" t="str">
        <f>IF(SUMIFS(Datenbasis!$E$13:$E$214,Datenbasis!$H$13:$H$214,A43)=0,"",SUMIFS(Datenbasis!$E$13:$E$214,Datenbasis!$H$13:$H$214,A43))</f>
        <v/>
      </c>
      <c r="C43" s="41" t="str">
        <f>IF(B43="","",SUMIFS(Datenbasis!$L$13:$L$214,Datenbasis!$H$13:$H$214,A43))</f>
        <v/>
      </c>
      <c r="D43" s="42" t="str">
        <f>IF(B43="","",SUMIFS(Datenbasis!$M$13:$M$214,Datenbasis!$H$13:$H$214,A43))</f>
        <v/>
      </c>
      <c r="E43" s="42" t="str">
        <f>IF(OR(B43="",Einstellungen!$B$15=""),"",Einstellungen!$B$15)</f>
        <v/>
      </c>
      <c r="F43" s="42" t="str">
        <f t="shared" si="2"/>
        <v/>
      </c>
      <c r="G43" s="72" t="str">
        <f>IF(C43="","",Einstellungen!$B$5)</f>
        <v/>
      </c>
      <c r="H43" s="72" t="str">
        <f t="shared" si="3"/>
        <v/>
      </c>
    </row>
    <row r="44" spans="1:8" ht="15" customHeight="1">
      <c r="A44" s="43">
        <v>22</v>
      </c>
      <c r="B44" s="41" t="str">
        <f>IF(SUMIFS(Datenbasis!$E$13:$E$214,Datenbasis!$H$13:$H$214,A44)=0,"",SUMIFS(Datenbasis!$E$13:$E$214,Datenbasis!$H$13:$H$214,A44))</f>
        <v/>
      </c>
      <c r="C44" s="41" t="str">
        <f>IF(B44="","",SUMIFS(Datenbasis!$L$13:$L$214,Datenbasis!$H$13:$H$214,A44))</f>
        <v/>
      </c>
      <c r="D44" s="42" t="str">
        <f>IF(B44="","",SUMIFS(Datenbasis!$M$13:$M$214,Datenbasis!$H$13:$H$214,A44))</f>
        <v/>
      </c>
      <c r="E44" s="42" t="str">
        <f>IF(OR(B44="",Einstellungen!$B$15=""),"",Einstellungen!$B$15)</f>
        <v/>
      </c>
      <c r="F44" s="42" t="str">
        <f t="shared" si="2"/>
        <v/>
      </c>
      <c r="G44" s="72" t="str">
        <f>IF(C44="","",Einstellungen!$B$5)</f>
        <v/>
      </c>
      <c r="H44" s="72" t="str">
        <f t="shared" si="3"/>
        <v/>
      </c>
    </row>
    <row r="45" spans="1:8" ht="15" customHeight="1">
      <c r="A45" s="43">
        <v>23</v>
      </c>
      <c r="B45" s="41" t="str">
        <f>IF(SUMIFS(Datenbasis!$E$13:$E$214,Datenbasis!$H$13:$H$214,A45)=0,"",SUMIFS(Datenbasis!$E$13:$E$214,Datenbasis!$H$13:$H$214,A45))</f>
        <v/>
      </c>
      <c r="C45" s="41" t="str">
        <f>IF(B45="","",SUMIFS(Datenbasis!$L$13:$L$214,Datenbasis!$H$13:$H$214,A45))</f>
        <v/>
      </c>
      <c r="D45" s="42" t="str">
        <f>IF(B45="","",SUMIFS(Datenbasis!$M$13:$M$214,Datenbasis!$H$13:$H$214,A45))</f>
        <v/>
      </c>
      <c r="E45" s="42" t="str">
        <f>IF(OR(B45="",Einstellungen!$B$15=""),"",Einstellungen!$B$15)</f>
        <v/>
      </c>
      <c r="F45" s="42" t="str">
        <f t="shared" si="2"/>
        <v/>
      </c>
      <c r="G45" s="72" t="str">
        <f>IF(C45="","",Einstellungen!$B$5)</f>
        <v/>
      </c>
      <c r="H45" s="72" t="str">
        <f t="shared" si="3"/>
        <v/>
      </c>
    </row>
    <row r="46" spans="1:8" ht="15" customHeight="1">
      <c r="A46" s="43">
        <v>24</v>
      </c>
      <c r="B46" s="41" t="str">
        <f>IF(SUMIFS(Datenbasis!$E$13:$E$214,Datenbasis!$H$13:$H$214,A46)=0,"",SUMIFS(Datenbasis!$E$13:$E$214,Datenbasis!$H$13:$H$214,A46))</f>
        <v/>
      </c>
      <c r="C46" s="41" t="str">
        <f>IF(B46="","",SUMIFS(Datenbasis!$L$13:$L$214,Datenbasis!$H$13:$H$214,A46))</f>
        <v/>
      </c>
      <c r="D46" s="42" t="str">
        <f>IF(B46="","",SUMIFS(Datenbasis!$M$13:$M$214,Datenbasis!$H$13:$H$214,A46))</f>
        <v/>
      </c>
      <c r="E46" s="42" t="str">
        <f>IF(OR(B46="",Einstellungen!$B$15=""),"",Einstellungen!$B$15)</f>
        <v/>
      </c>
      <c r="F46" s="42" t="str">
        <f t="shared" si="2"/>
        <v/>
      </c>
      <c r="G46" s="72" t="str">
        <f>IF(C46="","",Einstellungen!$B$5)</f>
        <v/>
      </c>
      <c r="H46" s="72" t="str">
        <f t="shared" si="3"/>
        <v/>
      </c>
    </row>
    <row r="47" spans="1:8" ht="15" customHeight="1">
      <c r="A47" s="43">
        <v>25</v>
      </c>
      <c r="B47" s="41">
        <f>IF(SUMIFS(Datenbasis!$E$13:$E$214,Datenbasis!$H$13:$H$214,A47)=0,"",SUMIFS(Datenbasis!$E$13:$E$214,Datenbasis!$H$13:$H$214,A47))</f>
        <v>10.3</v>
      </c>
      <c r="C47" s="41">
        <f>IF(B47="","",SUMIFS(Datenbasis!$L$13:$L$214,Datenbasis!$H$13:$H$214,A47))</f>
        <v>10.3</v>
      </c>
      <c r="D47" s="42">
        <f>IF(B47="","",SUMIFS(Datenbasis!$M$13:$M$214,Datenbasis!$H$13:$H$214,A47))</f>
        <v>0</v>
      </c>
      <c r="E47" s="42">
        <f>IF(OR(B47="",Einstellungen!$B$15=""),"",Einstellungen!$B$15)</f>
        <v>20</v>
      </c>
      <c r="F47" s="42">
        <f t="shared" si="2"/>
        <v>9.6999999999999993</v>
      </c>
      <c r="G47" s="72">
        <f>IF(C47="","",Einstellungen!$B$5)</f>
        <v>85</v>
      </c>
      <c r="H47" s="72">
        <f t="shared" si="3"/>
        <v>875.50000000000011</v>
      </c>
    </row>
    <row r="48" spans="1:8" ht="15" customHeight="1">
      <c r="A48" s="43">
        <v>26</v>
      </c>
      <c r="B48" s="41">
        <f>IF(SUMIFS(Datenbasis!$E$13:$E$214,Datenbasis!$H$13:$H$214,A48)=0,"",SUMIFS(Datenbasis!$E$13:$E$214,Datenbasis!$H$13:$H$214,A48))</f>
        <v>16</v>
      </c>
      <c r="C48" s="41">
        <f>IF(B48="","",SUMIFS(Datenbasis!$L$13:$L$214,Datenbasis!$H$13:$H$214,A48))</f>
        <v>16</v>
      </c>
      <c r="D48" s="42">
        <f>IF(B48="","",SUMIFS(Datenbasis!$M$13:$M$214,Datenbasis!$H$13:$H$214,A48))</f>
        <v>0</v>
      </c>
      <c r="E48" s="42">
        <f>IF(OR(B48="",Einstellungen!$B$15=""),"",Einstellungen!$B$15)</f>
        <v>20</v>
      </c>
      <c r="F48" s="42">
        <f t="shared" si="2"/>
        <v>4</v>
      </c>
      <c r="G48" s="72">
        <f>IF(C48="","",Einstellungen!$B$5)</f>
        <v>85</v>
      </c>
      <c r="H48" s="72">
        <f t="shared" si="3"/>
        <v>1360</v>
      </c>
    </row>
    <row r="49" spans="1:8" ht="15" customHeight="1">
      <c r="A49" s="43">
        <v>27</v>
      </c>
      <c r="B49" s="41">
        <f>IF(SUMIFS(Datenbasis!$E$13:$E$214,Datenbasis!$H$13:$H$214,A49)=0,"",SUMIFS(Datenbasis!$E$13:$E$214,Datenbasis!$H$13:$H$214,A49))</f>
        <v>19.849999999999998</v>
      </c>
      <c r="C49" s="41">
        <f>IF(B49="","",SUMIFS(Datenbasis!$L$13:$L$214,Datenbasis!$H$13:$H$214,A49))</f>
        <v>19.849999999999998</v>
      </c>
      <c r="D49" s="42">
        <f>IF(B49="","",SUMIFS(Datenbasis!$M$13:$M$214,Datenbasis!$H$13:$H$214,A49))</f>
        <v>0</v>
      </c>
      <c r="E49" s="42">
        <f>IF(OR(B49="",Einstellungen!$B$15=""),"",Einstellungen!$B$15)</f>
        <v>20</v>
      </c>
      <c r="F49" s="42">
        <f t="shared" si="2"/>
        <v>0.15000000000000213</v>
      </c>
      <c r="G49" s="72">
        <f>IF(C49="","",Einstellungen!$B$5)</f>
        <v>85</v>
      </c>
      <c r="H49" s="72">
        <f t="shared" si="3"/>
        <v>1687.2499999999998</v>
      </c>
    </row>
    <row r="50" spans="1:8" ht="15" customHeight="1">
      <c r="A50" s="43">
        <v>28</v>
      </c>
      <c r="B50" s="41">
        <f>IF(SUMIFS(Datenbasis!$E$13:$E$214,Datenbasis!$H$13:$H$214,A50)=0,"",SUMIFS(Datenbasis!$E$13:$E$214,Datenbasis!$H$13:$H$214,A50))</f>
        <v>21.549999999999997</v>
      </c>
      <c r="C50" s="41">
        <f>IF(B50="","",SUMIFS(Datenbasis!$L$13:$L$214,Datenbasis!$H$13:$H$214,A50))</f>
        <v>20</v>
      </c>
      <c r="D50" s="42">
        <f>IF(B50="","",SUMIFS(Datenbasis!$M$13:$M$214,Datenbasis!$H$13:$H$214,A50))</f>
        <v>1.5499999999999972</v>
      </c>
      <c r="E50" s="42">
        <f>IF(OR(B50="",Einstellungen!$B$15=""),"",Einstellungen!$B$15)</f>
        <v>20</v>
      </c>
      <c r="F50" s="42">
        <f t="shared" si="2"/>
        <v>0</v>
      </c>
      <c r="G50" s="72">
        <f>IF(C50="","",Einstellungen!$B$5)</f>
        <v>85</v>
      </c>
      <c r="H50" s="72">
        <f t="shared" si="3"/>
        <v>1700</v>
      </c>
    </row>
    <row r="51" spans="1:8" ht="15" customHeight="1">
      <c r="A51" s="43">
        <v>29</v>
      </c>
      <c r="B51" s="41">
        <f>IF(SUMIFS(Datenbasis!$E$13:$E$214,Datenbasis!$H$13:$H$214,A51)=0,"",SUMIFS(Datenbasis!$E$13:$E$214,Datenbasis!$H$13:$H$214,A51))</f>
        <v>23</v>
      </c>
      <c r="C51" s="41">
        <f>IF(B51="","",SUMIFS(Datenbasis!$L$13:$L$214,Datenbasis!$H$13:$H$214,A51))</f>
        <v>20</v>
      </c>
      <c r="D51" s="42">
        <f>IF(B51="","",SUMIFS(Datenbasis!$M$13:$M$214,Datenbasis!$H$13:$H$214,A51))</f>
        <v>3</v>
      </c>
      <c r="E51" s="42">
        <f>IF(OR(B51="",Einstellungen!$B$15=""),"",Einstellungen!$B$15)</f>
        <v>20</v>
      </c>
      <c r="F51" s="42">
        <f t="shared" si="2"/>
        <v>0</v>
      </c>
      <c r="G51" s="72">
        <f>IF(C51="","",Einstellungen!$B$5)</f>
        <v>85</v>
      </c>
      <c r="H51" s="72">
        <f t="shared" si="3"/>
        <v>1700</v>
      </c>
    </row>
    <row r="52" spans="1:8" ht="15" customHeight="1">
      <c r="A52" s="43">
        <v>30</v>
      </c>
      <c r="B52" s="41">
        <f>IF(SUMIFS(Datenbasis!$E$13:$E$214,Datenbasis!$H$13:$H$214,A52)=0,"",SUMIFS(Datenbasis!$E$13:$E$214,Datenbasis!$H$13:$H$214,A52))</f>
        <v>6.5</v>
      </c>
      <c r="C52" s="41">
        <f>IF(B52="","",SUMIFS(Datenbasis!$L$13:$L$214,Datenbasis!$H$13:$H$214,A52))</f>
        <v>6.5</v>
      </c>
      <c r="D52" s="42">
        <f>IF(B52="","",SUMIFS(Datenbasis!$M$13:$M$214,Datenbasis!$H$13:$H$214,A52))</f>
        <v>0</v>
      </c>
      <c r="E52" s="42">
        <f>IF(OR(B52="",Einstellungen!$B$15=""),"",Einstellungen!$B$15)</f>
        <v>20</v>
      </c>
      <c r="F52" s="42">
        <f t="shared" si="2"/>
        <v>13.5</v>
      </c>
      <c r="G52" s="72">
        <f>IF(C52="","",Einstellungen!$B$5)</f>
        <v>85</v>
      </c>
      <c r="H52" s="72">
        <f t="shared" si="3"/>
        <v>552.5</v>
      </c>
    </row>
    <row r="53" spans="1:8" ht="15" customHeight="1">
      <c r="A53" s="43">
        <v>31</v>
      </c>
      <c r="B53" s="41" t="str">
        <f>IF(SUMIFS(Datenbasis!$E$13:$E$214,Datenbasis!$H$13:$H$214,A53)=0,"",SUMIFS(Datenbasis!$E$13:$E$214,Datenbasis!$H$13:$H$214,A53))</f>
        <v/>
      </c>
      <c r="C53" s="41" t="str">
        <f>IF(B53="","",SUMIFS(Datenbasis!$L$13:$L$214,Datenbasis!$H$13:$H$214,A53))</f>
        <v/>
      </c>
      <c r="D53" s="42" t="str">
        <f>IF(B53="","",SUMIFS(Datenbasis!$M$13:$M$214,Datenbasis!$H$13:$H$214,A53))</f>
        <v/>
      </c>
      <c r="E53" s="42" t="str">
        <f>IF(OR(B53="",Einstellungen!$B$15=""),"",Einstellungen!$B$15)</f>
        <v/>
      </c>
      <c r="F53" s="42" t="str">
        <f t="shared" si="2"/>
        <v/>
      </c>
      <c r="G53" s="72" t="str">
        <f>IF(C53="","",Einstellungen!$B$5)</f>
        <v/>
      </c>
      <c r="H53" s="72" t="str">
        <f t="shared" si="3"/>
        <v/>
      </c>
    </row>
    <row r="54" spans="1:8" ht="15" customHeight="1">
      <c r="A54" s="43">
        <v>32</v>
      </c>
      <c r="B54" s="41" t="str">
        <f>IF(SUMIFS(Datenbasis!$E$13:$E$214,Datenbasis!$H$13:$H$214,A54)=0,"",SUMIFS(Datenbasis!$E$13:$E$214,Datenbasis!$H$13:$H$214,A54))</f>
        <v/>
      </c>
      <c r="C54" s="41" t="str">
        <f>IF(B54="","",SUMIFS(Datenbasis!$L$13:$L$214,Datenbasis!$H$13:$H$214,A54))</f>
        <v/>
      </c>
      <c r="D54" s="42" t="str">
        <f>IF(B54="","",SUMIFS(Datenbasis!$M$13:$M$214,Datenbasis!$H$13:$H$214,A54))</f>
        <v/>
      </c>
      <c r="E54" s="42" t="str">
        <f>IF(OR(B54="",Einstellungen!$B$15=""),"",Einstellungen!$B$15)</f>
        <v/>
      </c>
      <c r="F54" s="42" t="str">
        <f t="shared" si="2"/>
        <v/>
      </c>
      <c r="G54" s="72" t="str">
        <f>IF(C54="","",Einstellungen!$B$5)</f>
        <v/>
      </c>
      <c r="H54" s="72" t="str">
        <f t="shared" si="3"/>
        <v/>
      </c>
    </row>
    <row r="55" spans="1:8" ht="15" customHeight="1">
      <c r="A55" s="43">
        <v>33</v>
      </c>
      <c r="B55" s="41" t="str">
        <f>IF(SUMIFS(Datenbasis!$E$13:$E$214,Datenbasis!$H$13:$H$214,A55)=0,"",SUMIFS(Datenbasis!$E$13:$E$214,Datenbasis!$H$13:$H$214,A55))</f>
        <v/>
      </c>
      <c r="C55" s="41" t="str">
        <f>IF(B55="","",SUMIFS(Datenbasis!$L$13:$L$214,Datenbasis!$H$13:$H$214,A55))</f>
        <v/>
      </c>
      <c r="D55" s="42" t="str">
        <f>IF(B55="","",SUMIFS(Datenbasis!$M$13:$M$214,Datenbasis!$H$13:$H$214,A55))</f>
        <v/>
      </c>
      <c r="E55" s="42" t="str">
        <f>IF(OR(B55="",Einstellungen!$B$15=""),"",Einstellungen!$B$15)</f>
        <v/>
      </c>
      <c r="F55" s="42" t="str">
        <f t="shared" ref="F55:F75" si="4">IF(E55="","",MAX(0,E55-B55))</f>
        <v/>
      </c>
      <c r="G55" s="72" t="str">
        <f>IF(C55="","",Einstellungen!$B$5)</f>
        <v/>
      </c>
      <c r="H55" s="72" t="str">
        <f t="shared" ref="H55:H75" si="5">IF(C55="","",C55*G55)</f>
        <v/>
      </c>
    </row>
    <row r="56" spans="1:8" ht="15" customHeight="1">
      <c r="A56" s="43">
        <v>34</v>
      </c>
      <c r="B56" s="41" t="str">
        <f>IF(SUMIFS(Datenbasis!$E$13:$E$214,Datenbasis!$H$13:$H$214,A56)=0,"",SUMIFS(Datenbasis!$E$13:$E$214,Datenbasis!$H$13:$H$214,A56))</f>
        <v/>
      </c>
      <c r="C56" s="41" t="str">
        <f>IF(B56="","",SUMIFS(Datenbasis!$L$13:$L$214,Datenbasis!$H$13:$H$214,A56))</f>
        <v/>
      </c>
      <c r="D56" s="42" t="str">
        <f>IF(B56="","",SUMIFS(Datenbasis!$M$13:$M$214,Datenbasis!$H$13:$H$214,A56))</f>
        <v/>
      </c>
      <c r="E56" s="42" t="str">
        <f>IF(OR(B56="",Einstellungen!$B$15=""),"",Einstellungen!$B$15)</f>
        <v/>
      </c>
      <c r="F56" s="42" t="str">
        <f t="shared" si="4"/>
        <v/>
      </c>
      <c r="G56" s="72" t="str">
        <f>IF(C56="","",Einstellungen!$B$5)</f>
        <v/>
      </c>
      <c r="H56" s="72" t="str">
        <f t="shared" si="5"/>
        <v/>
      </c>
    </row>
    <row r="57" spans="1:8" ht="15" customHeight="1">
      <c r="A57" s="43">
        <v>35</v>
      </c>
      <c r="B57" s="41" t="str">
        <f>IF(SUMIFS(Datenbasis!$E$13:$E$214,Datenbasis!$H$13:$H$214,A57)=0,"",SUMIFS(Datenbasis!$E$13:$E$214,Datenbasis!$H$13:$H$214,A57))</f>
        <v/>
      </c>
      <c r="C57" s="41" t="str">
        <f>IF(B57="","",SUMIFS(Datenbasis!$L$13:$L$214,Datenbasis!$H$13:$H$214,A57))</f>
        <v/>
      </c>
      <c r="D57" s="42" t="str">
        <f>IF(B57="","",SUMIFS(Datenbasis!$M$13:$M$214,Datenbasis!$H$13:$H$214,A57))</f>
        <v/>
      </c>
      <c r="E57" s="42" t="str">
        <f>IF(OR(B57="",Einstellungen!$B$15=""),"",Einstellungen!$B$15)</f>
        <v/>
      </c>
      <c r="F57" s="42" t="str">
        <f t="shared" si="4"/>
        <v/>
      </c>
      <c r="G57" s="72" t="str">
        <f>IF(C57="","",Einstellungen!$B$5)</f>
        <v/>
      </c>
      <c r="H57" s="72" t="str">
        <f t="shared" si="5"/>
        <v/>
      </c>
    </row>
    <row r="58" spans="1:8" ht="15" customHeight="1">
      <c r="A58" s="43">
        <v>36</v>
      </c>
      <c r="B58" s="41" t="str">
        <f>IF(SUMIFS(Datenbasis!$E$13:$E$214,Datenbasis!$H$13:$H$214,A58)=0,"",SUMIFS(Datenbasis!$E$13:$E$214,Datenbasis!$H$13:$H$214,A58))</f>
        <v/>
      </c>
      <c r="C58" s="41" t="str">
        <f>IF(B58="","",SUMIFS(Datenbasis!$L$13:$L$214,Datenbasis!$H$13:$H$214,A58))</f>
        <v/>
      </c>
      <c r="D58" s="42" t="str">
        <f>IF(B58="","",SUMIFS(Datenbasis!$M$13:$M$214,Datenbasis!$H$13:$H$214,A58))</f>
        <v/>
      </c>
      <c r="E58" s="42" t="str">
        <f>IF(OR(B58="",Einstellungen!$B$15=""),"",Einstellungen!$B$15)</f>
        <v/>
      </c>
      <c r="F58" s="42" t="str">
        <f t="shared" si="4"/>
        <v/>
      </c>
      <c r="G58" s="72" t="str">
        <f>IF(C58="","",Einstellungen!$B$5)</f>
        <v/>
      </c>
      <c r="H58" s="72" t="str">
        <f t="shared" si="5"/>
        <v/>
      </c>
    </row>
    <row r="59" spans="1:8" ht="15" customHeight="1">
      <c r="A59" s="43">
        <v>37</v>
      </c>
      <c r="B59" s="41" t="str">
        <f>IF(SUMIFS(Datenbasis!$E$13:$E$214,Datenbasis!$H$13:$H$214,A59)=0,"",SUMIFS(Datenbasis!$E$13:$E$214,Datenbasis!$H$13:$H$214,A59))</f>
        <v/>
      </c>
      <c r="C59" s="41" t="str">
        <f>IF(B59="","",SUMIFS(Datenbasis!$L$13:$L$214,Datenbasis!$H$13:$H$214,A59))</f>
        <v/>
      </c>
      <c r="D59" s="42" t="str">
        <f>IF(B59="","",SUMIFS(Datenbasis!$M$13:$M$214,Datenbasis!$H$13:$H$214,A59))</f>
        <v/>
      </c>
      <c r="E59" s="42" t="str">
        <f>IF(OR(B59="",Einstellungen!$B$15=""),"",Einstellungen!$B$15)</f>
        <v/>
      </c>
      <c r="F59" s="42" t="str">
        <f t="shared" si="4"/>
        <v/>
      </c>
      <c r="G59" s="72" t="str">
        <f>IF(C59="","",Einstellungen!$B$5)</f>
        <v/>
      </c>
      <c r="H59" s="72" t="str">
        <f t="shared" si="5"/>
        <v/>
      </c>
    </row>
    <row r="60" spans="1:8" ht="15" customHeight="1">
      <c r="A60" s="43">
        <v>38</v>
      </c>
      <c r="B60" s="41" t="str">
        <f>IF(SUMIFS(Datenbasis!$E$13:$E$214,Datenbasis!$H$13:$H$214,A60)=0,"",SUMIFS(Datenbasis!$E$13:$E$214,Datenbasis!$H$13:$H$214,A60))</f>
        <v/>
      </c>
      <c r="C60" s="41" t="str">
        <f>IF(B60="","",SUMIFS(Datenbasis!$L$13:$L$214,Datenbasis!$H$13:$H$214,A60))</f>
        <v/>
      </c>
      <c r="D60" s="42" t="str">
        <f>IF(B60="","",SUMIFS(Datenbasis!$M$13:$M$214,Datenbasis!$H$13:$H$214,A60))</f>
        <v/>
      </c>
      <c r="E60" s="42" t="str">
        <f>IF(OR(B60="",Einstellungen!$B$15=""),"",Einstellungen!$B$15)</f>
        <v/>
      </c>
      <c r="F60" s="42" t="str">
        <f t="shared" si="4"/>
        <v/>
      </c>
      <c r="G60" s="72" t="str">
        <f>IF(C60="","",Einstellungen!$B$5)</f>
        <v/>
      </c>
      <c r="H60" s="72" t="str">
        <f t="shared" si="5"/>
        <v/>
      </c>
    </row>
    <row r="61" spans="1:8" ht="15" customHeight="1">
      <c r="A61" s="43">
        <v>39</v>
      </c>
      <c r="B61" s="41" t="str">
        <f>IF(SUMIFS(Datenbasis!$E$13:$E$214,Datenbasis!$H$13:$H$214,A61)=0,"",SUMIFS(Datenbasis!$E$13:$E$214,Datenbasis!$H$13:$H$214,A61))</f>
        <v/>
      </c>
      <c r="C61" s="41" t="str">
        <f>IF(B61="","",SUMIFS(Datenbasis!$L$13:$L$214,Datenbasis!$H$13:$H$214,A61))</f>
        <v/>
      </c>
      <c r="D61" s="42" t="str">
        <f>IF(B61="","",SUMIFS(Datenbasis!$M$13:$M$214,Datenbasis!$H$13:$H$214,A61))</f>
        <v/>
      </c>
      <c r="E61" s="42" t="str">
        <f>IF(OR(B61="",Einstellungen!$B$15=""),"",Einstellungen!$B$15)</f>
        <v/>
      </c>
      <c r="F61" s="42" t="str">
        <f t="shared" si="4"/>
        <v/>
      </c>
      <c r="G61" s="72" t="str">
        <f>IF(C61="","",Einstellungen!$B$5)</f>
        <v/>
      </c>
      <c r="H61" s="72" t="str">
        <f t="shared" si="5"/>
        <v/>
      </c>
    </row>
    <row r="62" spans="1:8" ht="15" customHeight="1">
      <c r="A62" s="43">
        <v>40</v>
      </c>
      <c r="B62" s="41" t="str">
        <f>IF(SUMIFS(Datenbasis!$E$13:$E$214,Datenbasis!$H$13:$H$214,A62)=0,"",SUMIFS(Datenbasis!$E$13:$E$214,Datenbasis!$H$13:$H$214,A62))</f>
        <v/>
      </c>
      <c r="C62" s="41" t="str">
        <f>IF(B62="","",SUMIFS(Datenbasis!$L$13:$L$214,Datenbasis!$H$13:$H$214,A62))</f>
        <v/>
      </c>
      <c r="D62" s="42" t="str">
        <f>IF(B62="","",SUMIFS(Datenbasis!$M$13:$M$214,Datenbasis!$H$13:$H$214,A62))</f>
        <v/>
      </c>
      <c r="E62" s="42" t="str">
        <f>IF(OR(B62="",Einstellungen!$B$15=""),"",Einstellungen!$B$15)</f>
        <v/>
      </c>
      <c r="F62" s="42" t="str">
        <f t="shared" si="4"/>
        <v/>
      </c>
      <c r="G62" s="72" t="str">
        <f>IF(C62="","",Einstellungen!$B$5)</f>
        <v/>
      </c>
      <c r="H62" s="72" t="str">
        <f t="shared" si="5"/>
        <v/>
      </c>
    </row>
    <row r="63" spans="1:8" ht="15" customHeight="1">
      <c r="A63" s="43">
        <v>41</v>
      </c>
      <c r="B63" s="41" t="str">
        <f>IF(SUMIFS(Datenbasis!$E$13:$E$214,Datenbasis!$H$13:$H$214,A63)=0,"",SUMIFS(Datenbasis!$E$13:$E$214,Datenbasis!$H$13:$H$214,A63))</f>
        <v/>
      </c>
      <c r="C63" s="41" t="str">
        <f>IF(B63="","",SUMIFS(Datenbasis!$L$13:$L$214,Datenbasis!$H$13:$H$214,A63))</f>
        <v/>
      </c>
      <c r="D63" s="42" t="str">
        <f>IF(B63="","",SUMIFS(Datenbasis!$M$13:$M$214,Datenbasis!$H$13:$H$214,A63))</f>
        <v/>
      </c>
      <c r="E63" s="42" t="str">
        <f>IF(OR(B63="",Einstellungen!$B$15=""),"",Einstellungen!$B$15)</f>
        <v/>
      </c>
      <c r="F63" s="42" t="str">
        <f t="shared" si="4"/>
        <v/>
      </c>
      <c r="G63" s="72" t="str">
        <f>IF(C63="","",Einstellungen!$B$5)</f>
        <v/>
      </c>
      <c r="H63" s="72" t="str">
        <f t="shared" si="5"/>
        <v/>
      </c>
    </row>
    <row r="64" spans="1:8" ht="15" customHeight="1">
      <c r="A64" s="43">
        <v>42</v>
      </c>
      <c r="B64" s="41" t="str">
        <f>IF(SUMIFS(Datenbasis!$E$13:$E$214,Datenbasis!$H$13:$H$214,A64)=0,"",SUMIFS(Datenbasis!$E$13:$E$214,Datenbasis!$H$13:$H$214,A64))</f>
        <v/>
      </c>
      <c r="C64" s="41" t="str">
        <f>IF(B64="","",SUMIFS(Datenbasis!$L$13:$L$214,Datenbasis!$H$13:$H$214,A64))</f>
        <v/>
      </c>
      <c r="D64" s="42" t="str">
        <f>IF(B64="","",SUMIFS(Datenbasis!$M$13:$M$214,Datenbasis!$H$13:$H$214,A64))</f>
        <v/>
      </c>
      <c r="E64" s="42" t="str">
        <f>IF(OR(B64="",Einstellungen!$B$15=""),"",Einstellungen!$B$15)</f>
        <v/>
      </c>
      <c r="F64" s="42" t="str">
        <f t="shared" si="4"/>
        <v/>
      </c>
      <c r="G64" s="72" t="str">
        <f>IF(C64="","",Einstellungen!$B$5)</f>
        <v/>
      </c>
      <c r="H64" s="72" t="str">
        <f t="shared" si="5"/>
        <v/>
      </c>
    </row>
    <row r="65" spans="1:8" ht="15" customHeight="1">
      <c r="A65" s="43">
        <v>43</v>
      </c>
      <c r="B65" s="41" t="str">
        <f>IF(SUMIFS(Datenbasis!$E$13:$E$214,Datenbasis!$H$13:$H$214,A65)=0,"",SUMIFS(Datenbasis!$E$13:$E$214,Datenbasis!$H$13:$H$214,A65))</f>
        <v/>
      </c>
      <c r="C65" s="41" t="str">
        <f>IF(B65="","",SUMIFS(Datenbasis!$L$13:$L$214,Datenbasis!$H$13:$H$214,A65))</f>
        <v/>
      </c>
      <c r="D65" s="42" t="str">
        <f>IF(B65="","",SUMIFS(Datenbasis!$M$13:$M$214,Datenbasis!$H$13:$H$214,A65))</f>
        <v/>
      </c>
      <c r="E65" s="42" t="str">
        <f>IF(OR(B65="",Einstellungen!$B$15=""),"",Einstellungen!$B$15)</f>
        <v/>
      </c>
      <c r="F65" s="42" t="str">
        <f t="shared" si="4"/>
        <v/>
      </c>
      <c r="G65" s="72" t="str">
        <f>IF(C65="","",Einstellungen!$B$5)</f>
        <v/>
      </c>
      <c r="H65" s="72" t="str">
        <f t="shared" si="5"/>
        <v/>
      </c>
    </row>
    <row r="66" spans="1:8" ht="15" customHeight="1">
      <c r="A66" s="43">
        <v>44</v>
      </c>
      <c r="B66" s="41" t="str">
        <f>IF(SUMIFS(Datenbasis!$E$13:$E$214,Datenbasis!$H$13:$H$214,A66)=0,"",SUMIFS(Datenbasis!$E$13:$E$214,Datenbasis!$H$13:$H$214,A66))</f>
        <v/>
      </c>
      <c r="C66" s="41" t="str">
        <f>IF(B66="","",SUMIFS(Datenbasis!$L$13:$L$214,Datenbasis!$H$13:$H$214,A66))</f>
        <v/>
      </c>
      <c r="D66" s="42" t="str">
        <f>IF(B66="","",SUMIFS(Datenbasis!$M$13:$M$214,Datenbasis!$H$13:$H$214,A66))</f>
        <v/>
      </c>
      <c r="E66" s="42" t="str">
        <f>IF(OR(B66="",Einstellungen!$B$15=""),"",Einstellungen!$B$15)</f>
        <v/>
      </c>
      <c r="F66" s="42" t="str">
        <f t="shared" si="4"/>
        <v/>
      </c>
      <c r="G66" s="72" t="str">
        <f>IF(C66="","",Einstellungen!$B$5)</f>
        <v/>
      </c>
      <c r="H66" s="72" t="str">
        <f t="shared" si="5"/>
        <v/>
      </c>
    </row>
    <row r="67" spans="1:8" ht="15" customHeight="1">
      <c r="A67" s="43">
        <v>45</v>
      </c>
      <c r="B67" s="41" t="str">
        <f>IF(SUMIFS(Datenbasis!$E$13:$E$214,Datenbasis!$H$13:$H$214,A67)=0,"",SUMIFS(Datenbasis!$E$13:$E$214,Datenbasis!$H$13:$H$214,A67))</f>
        <v/>
      </c>
      <c r="C67" s="41" t="str">
        <f>IF(B67="","",SUMIFS(Datenbasis!$L$13:$L$214,Datenbasis!$H$13:$H$214,A67))</f>
        <v/>
      </c>
      <c r="D67" s="42" t="str">
        <f>IF(B67="","",SUMIFS(Datenbasis!$M$13:$M$214,Datenbasis!$H$13:$H$214,A67))</f>
        <v/>
      </c>
      <c r="E67" s="42" t="str">
        <f>IF(OR(B67="",Einstellungen!$B$15=""),"",Einstellungen!$B$15)</f>
        <v/>
      </c>
      <c r="F67" s="42" t="str">
        <f t="shared" si="4"/>
        <v/>
      </c>
      <c r="G67" s="72" t="str">
        <f>IF(C67="","",Einstellungen!$B$5)</f>
        <v/>
      </c>
      <c r="H67" s="72" t="str">
        <f t="shared" si="5"/>
        <v/>
      </c>
    </row>
    <row r="68" spans="1:8" ht="15" customHeight="1">
      <c r="A68" s="43">
        <v>46</v>
      </c>
      <c r="B68" s="41" t="str">
        <f>IF(SUMIFS(Datenbasis!$E$13:$E$214,Datenbasis!$H$13:$H$214,A68)=0,"",SUMIFS(Datenbasis!$E$13:$E$214,Datenbasis!$H$13:$H$214,A68))</f>
        <v/>
      </c>
      <c r="C68" s="41" t="str">
        <f>IF(B68="","",SUMIFS(Datenbasis!$L$13:$L$214,Datenbasis!$H$13:$H$214,A68))</f>
        <v/>
      </c>
      <c r="D68" s="42" t="str">
        <f>IF(B68="","",SUMIFS(Datenbasis!$M$13:$M$214,Datenbasis!$H$13:$H$214,A68))</f>
        <v/>
      </c>
      <c r="E68" s="42" t="str">
        <f>IF(OR(B68="",Einstellungen!$B$15=""),"",Einstellungen!$B$15)</f>
        <v/>
      </c>
      <c r="F68" s="42" t="str">
        <f t="shared" si="4"/>
        <v/>
      </c>
      <c r="G68" s="72" t="str">
        <f>IF(C68="","",Einstellungen!$B$5)</f>
        <v/>
      </c>
      <c r="H68" s="72" t="str">
        <f t="shared" si="5"/>
        <v/>
      </c>
    </row>
    <row r="69" spans="1:8" ht="15" customHeight="1">
      <c r="A69" s="43">
        <v>47</v>
      </c>
      <c r="B69" s="41" t="str">
        <f>IF(SUMIFS(Datenbasis!$E$13:$E$214,Datenbasis!$H$13:$H$214,A69)=0,"",SUMIFS(Datenbasis!$E$13:$E$214,Datenbasis!$H$13:$H$214,A69))</f>
        <v/>
      </c>
      <c r="C69" s="41" t="str">
        <f>IF(B69="","",SUMIFS(Datenbasis!$L$13:$L$214,Datenbasis!$H$13:$H$214,A69))</f>
        <v/>
      </c>
      <c r="D69" s="42" t="str">
        <f>IF(B69="","",SUMIFS(Datenbasis!$M$13:$M$214,Datenbasis!$H$13:$H$214,A69))</f>
        <v/>
      </c>
      <c r="E69" s="42" t="str">
        <f>IF(OR(B69="",Einstellungen!$B$15=""),"",Einstellungen!$B$15)</f>
        <v/>
      </c>
      <c r="F69" s="42" t="str">
        <f t="shared" si="4"/>
        <v/>
      </c>
      <c r="G69" s="72" t="str">
        <f>IF(C69="","",Einstellungen!$B$5)</f>
        <v/>
      </c>
      <c r="H69" s="72" t="str">
        <f t="shared" si="5"/>
        <v/>
      </c>
    </row>
    <row r="70" spans="1:8" ht="15" customHeight="1">
      <c r="A70" s="43">
        <v>48</v>
      </c>
      <c r="B70" s="41" t="str">
        <f>IF(SUMIFS(Datenbasis!$E$13:$E$214,Datenbasis!$H$13:$H$214,A70)=0,"",SUMIFS(Datenbasis!$E$13:$E$214,Datenbasis!$H$13:$H$214,A70))</f>
        <v/>
      </c>
      <c r="C70" s="41" t="str">
        <f>IF(B70="","",SUMIFS(Datenbasis!$L$13:$L$214,Datenbasis!$H$13:$H$214,A70))</f>
        <v/>
      </c>
      <c r="D70" s="42" t="str">
        <f>IF(B70="","",SUMIFS(Datenbasis!$M$13:$M$214,Datenbasis!$H$13:$H$214,A70))</f>
        <v/>
      </c>
      <c r="E70" s="42" t="str">
        <f>IF(OR(B70="",Einstellungen!$B$15=""),"",Einstellungen!$B$15)</f>
        <v/>
      </c>
      <c r="F70" s="42" t="str">
        <f t="shared" si="4"/>
        <v/>
      </c>
      <c r="G70" s="72" t="str">
        <f>IF(C70="","",Einstellungen!$B$5)</f>
        <v/>
      </c>
      <c r="H70" s="72" t="str">
        <f t="shared" si="5"/>
        <v/>
      </c>
    </row>
    <row r="71" spans="1:8" ht="15" customHeight="1">
      <c r="A71" s="43">
        <v>49</v>
      </c>
      <c r="B71" s="41" t="str">
        <f>IF(SUMIFS(Datenbasis!$E$13:$E$214,Datenbasis!$H$13:$H$214,A71)=0,"",SUMIFS(Datenbasis!$E$13:$E$214,Datenbasis!$H$13:$H$214,A71))</f>
        <v/>
      </c>
      <c r="C71" s="41" t="str">
        <f>IF(B71="","",SUMIFS(Datenbasis!$L$13:$L$214,Datenbasis!$H$13:$H$214,A71))</f>
        <v/>
      </c>
      <c r="D71" s="42" t="str">
        <f>IF(B71="","",SUMIFS(Datenbasis!$M$13:$M$214,Datenbasis!$H$13:$H$214,A71))</f>
        <v/>
      </c>
      <c r="E71" s="42" t="str">
        <f>IF(OR(B71="",Einstellungen!$B$15=""),"",Einstellungen!$B$15)</f>
        <v/>
      </c>
      <c r="F71" s="42" t="str">
        <f t="shared" si="4"/>
        <v/>
      </c>
      <c r="G71" s="72" t="str">
        <f>IF(C71="","",Einstellungen!$B$5)</f>
        <v/>
      </c>
      <c r="H71" s="72" t="str">
        <f t="shared" si="5"/>
        <v/>
      </c>
    </row>
    <row r="72" spans="1:8" ht="15" customHeight="1">
      <c r="A72" s="43">
        <v>50</v>
      </c>
      <c r="B72" s="41" t="str">
        <f>IF(SUMIFS(Datenbasis!$E$13:$E$214,Datenbasis!$H$13:$H$214,A72)=0,"",SUMIFS(Datenbasis!$E$13:$E$214,Datenbasis!$H$13:$H$214,A72))</f>
        <v/>
      </c>
      <c r="C72" s="41" t="str">
        <f>IF(B72="","",SUMIFS(Datenbasis!$L$13:$L$214,Datenbasis!$H$13:$H$214,A72))</f>
        <v/>
      </c>
      <c r="D72" s="42" t="str">
        <f>IF(B72="","",SUMIFS(Datenbasis!$M$13:$M$214,Datenbasis!$H$13:$H$214,A72))</f>
        <v/>
      </c>
      <c r="E72" s="42" t="str">
        <f>IF(OR(B72="",Einstellungen!$B$15=""),"",Einstellungen!$B$15)</f>
        <v/>
      </c>
      <c r="F72" s="42" t="str">
        <f t="shared" si="4"/>
        <v/>
      </c>
      <c r="G72" s="72" t="str">
        <f>IF(C72="","",Einstellungen!$B$5)</f>
        <v/>
      </c>
      <c r="H72" s="72" t="str">
        <f t="shared" si="5"/>
        <v/>
      </c>
    </row>
    <row r="73" spans="1:8" ht="15" customHeight="1">
      <c r="A73" s="43">
        <v>51</v>
      </c>
      <c r="B73" s="41" t="str">
        <f>IF(SUMIFS(Datenbasis!$E$13:$E$214,Datenbasis!$H$13:$H$214,A73)=0,"",SUMIFS(Datenbasis!$E$13:$E$214,Datenbasis!$H$13:$H$214,A73))</f>
        <v/>
      </c>
      <c r="C73" s="41" t="str">
        <f>IF(B73="","",SUMIFS(Datenbasis!$L$13:$L$214,Datenbasis!$H$13:$H$214,A73))</f>
        <v/>
      </c>
      <c r="D73" s="42" t="str">
        <f>IF(B73="","",SUMIFS(Datenbasis!$M$13:$M$214,Datenbasis!$H$13:$H$214,A73))</f>
        <v/>
      </c>
      <c r="E73" s="42" t="str">
        <f>IF(OR(B73="",Einstellungen!$B$15=""),"",Einstellungen!$B$15)</f>
        <v/>
      </c>
      <c r="F73" s="42" t="str">
        <f t="shared" si="4"/>
        <v/>
      </c>
      <c r="G73" s="72" t="str">
        <f>IF(C73="","",Einstellungen!$B$5)</f>
        <v/>
      </c>
      <c r="H73" s="72" t="str">
        <f t="shared" si="5"/>
        <v/>
      </c>
    </row>
    <row r="74" spans="1:8" ht="15" customHeight="1">
      <c r="A74" s="43">
        <v>52</v>
      </c>
      <c r="B74" s="41" t="str">
        <f>IF(SUMIFS(Datenbasis!$E$13:$E$214,Datenbasis!$H$13:$H$214,A74)=0,"",SUMIFS(Datenbasis!$E$13:$E$214,Datenbasis!$H$13:$H$214,A74))</f>
        <v/>
      </c>
      <c r="C74" s="41" t="str">
        <f>IF(B74="","",SUMIFS(Datenbasis!$L$13:$L$214,Datenbasis!$H$13:$H$214,A74))</f>
        <v/>
      </c>
      <c r="D74" s="42" t="str">
        <f>IF(B74="","",SUMIFS(Datenbasis!$M$13:$M$214,Datenbasis!$H$13:$H$214,A74))</f>
        <v/>
      </c>
      <c r="E74" s="42" t="str">
        <f>IF(OR(B74="",Einstellungen!$B$15=""),"",Einstellungen!$B$15)</f>
        <v/>
      </c>
      <c r="F74" s="42" t="str">
        <f t="shared" si="4"/>
        <v/>
      </c>
      <c r="G74" s="72" t="str">
        <f>IF(C74="","",Einstellungen!$B$5)</f>
        <v/>
      </c>
      <c r="H74" s="72" t="str">
        <f t="shared" si="5"/>
        <v/>
      </c>
    </row>
    <row r="75" spans="1:8" ht="15" customHeight="1">
      <c r="A75" s="43">
        <v>53</v>
      </c>
      <c r="B75" s="41" t="str">
        <f>IF(SUMIFS(Datenbasis!$E$13:$E$214,Datenbasis!$H$13:$H$214,A75)=0,"",SUMIFS(Datenbasis!$E$13:$E$214,Datenbasis!$H$13:$H$214,A75))</f>
        <v/>
      </c>
      <c r="C75" s="41" t="str">
        <f>IF(B75="","",SUMIFS(Datenbasis!$L$13:$L$214,Datenbasis!$H$13:$H$214,A75))</f>
        <v/>
      </c>
      <c r="D75" s="42" t="str">
        <f>IF(B75="","",SUMIFS(Datenbasis!$M$13:$M$214,Datenbasis!$H$13:$H$214,A75))</f>
        <v/>
      </c>
      <c r="E75" s="42" t="str">
        <f>IF(OR(B75="",Einstellungen!$B$15=""),"",Einstellungen!$B$15)</f>
        <v/>
      </c>
      <c r="F75" s="42" t="str">
        <f t="shared" si="4"/>
        <v/>
      </c>
      <c r="G75" s="72" t="str">
        <f>IF(C75="","",Einstellungen!$B$5)</f>
        <v/>
      </c>
      <c r="H75" s="72" t="str">
        <f t="shared" si="5"/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workbookViewId="0">
      <selection sqref="A1:F1"/>
    </sheetView>
  </sheetViews>
  <sheetFormatPr baseColWidth="10" defaultColWidth="8.83203125" defaultRowHeight="14"/>
  <cols>
    <col min="1" max="1" width="28" customWidth="1"/>
    <col min="2" max="2" width="18" customWidth="1"/>
    <col min="4" max="4" width="28" customWidth="1"/>
    <col min="5" max="6" width="22" customWidth="1"/>
  </cols>
  <sheetData>
    <row r="1" spans="1:8" ht="28.5" customHeight="1">
      <c r="A1" s="76" t="s">
        <v>140</v>
      </c>
      <c r="B1" s="77"/>
      <c r="C1" s="77"/>
      <c r="D1" s="77"/>
      <c r="E1" s="77"/>
      <c r="F1" s="77"/>
      <c r="G1" s="1"/>
      <c r="H1" s="1"/>
    </row>
    <row r="2" spans="1:8" ht="25.5" customHeight="1">
      <c r="A2" s="78" t="s">
        <v>141</v>
      </c>
      <c r="B2" s="77"/>
      <c r="C2" s="77"/>
      <c r="D2" s="77"/>
      <c r="E2" s="77"/>
      <c r="F2" s="77"/>
      <c r="G2" s="77"/>
      <c r="H2" s="77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2" t="s">
        <v>142</v>
      </c>
      <c r="B4" s="3">
        <v>46174</v>
      </c>
      <c r="C4" s="1"/>
      <c r="D4" s="4" t="s">
        <v>143</v>
      </c>
      <c r="E4" s="4" t="s">
        <v>144</v>
      </c>
      <c r="F4" s="4" t="s">
        <v>145</v>
      </c>
      <c r="G4" s="1"/>
      <c r="H4" s="1"/>
    </row>
    <row r="5" spans="1:8" ht="15" customHeight="1">
      <c r="A5" s="2" t="s">
        <v>3</v>
      </c>
      <c r="B5" s="5">
        <v>85</v>
      </c>
      <c r="C5" s="1"/>
      <c r="D5" s="6" t="s">
        <v>28</v>
      </c>
      <c r="E5" s="6" t="s">
        <v>41</v>
      </c>
      <c r="F5" s="6" t="str">
        <f>CHOOSE(MONTH(B4),"Januar","Februar","März","April","Mai","Juni","Juli","August","September","Oktober","November","Dezember")&amp;" "&amp;YEAR(B4)</f>
        <v>Juni 2026</v>
      </c>
      <c r="G5" s="1"/>
      <c r="H5" s="1"/>
    </row>
    <row r="6" spans="1:8" ht="15" customHeight="1">
      <c r="A6" s="2" t="s">
        <v>146</v>
      </c>
      <c r="B6" s="7" t="s">
        <v>147</v>
      </c>
      <c r="C6" s="1"/>
      <c r="D6" s="6" t="s">
        <v>36</v>
      </c>
      <c r="E6" s="6" t="s">
        <v>148</v>
      </c>
      <c r="F6" s="6"/>
      <c r="G6" s="1"/>
      <c r="H6" s="1"/>
    </row>
    <row r="7" spans="1:8" ht="15" customHeight="1">
      <c r="A7" s="2" t="s">
        <v>149</v>
      </c>
      <c r="B7" s="7" t="s">
        <v>150</v>
      </c>
      <c r="C7" s="1"/>
      <c r="D7" s="6" t="s">
        <v>40</v>
      </c>
      <c r="E7" s="6" t="s">
        <v>29</v>
      </c>
      <c r="F7" s="6"/>
      <c r="G7" s="1"/>
      <c r="H7" s="1"/>
    </row>
    <row r="8" spans="1:8" ht="15" customHeight="1">
      <c r="A8" s="2" t="s">
        <v>151</v>
      </c>
      <c r="B8" s="7" t="s">
        <v>152</v>
      </c>
      <c r="C8" s="1"/>
      <c r="D8" s="6" t="s">
        <v>33</v>
      </c>
      <c r="E8" s="6"/>
      <c r="F8" s="6"/>
      <c r="G8" s="1"/>
      <c r="H8" s="1"/>
    </row>
    <row r="9" spans="1:8" ht="15" customHeight="1">
      <c r="A9" s="2" t="s">
        <v>153</v>
      </c>
      <c r="B9" s="7">
        <v>200</v>
      </c>
      <c r="C9" s="1"/>
      <c r="D9" s="6" t="s">
        <v>154</v>
      </c>
      <c r="E9" s="6"/>
      <c r="F9" s="6"/>
      <c r="G9" s="1"/>
      <c r="H9" s="1"/>
    </row>
    <row r="10" spans="1:8" ht="30" customHeight="1">
      <c r="A10" s="2" t="s">
        <v>155</v>
      </c>
      <c r="B10" s="7" t="s">
        <v>156</v>
      </c>
      <c r="C10" s="1"/>
      <c r="D10" s="1"/>
      <c r="E10" s="1"/>
      <c r="F10" s="1"/>
      <c r="G10" s="1"/>
      <c r="H10" s="1"/>
    </row>
    <row r="11" spans="1:8" ht="15" customHeight="1">
      <c r="A11" s="2" t="s">
        <v>157</v>
      </c>
      <c r="B11" s="7" t="s">
        <v>158</v>
      </c>
      <c r="C11" s="1"/>
      <c r="D11" s="1"/>
      <c r="E11" s="1"/>
      <c r="F11" s="1"/>
      <c r="G11" s="1"/>
      <c r="H11" s="1"/>
    </row>
    <row r="13" spans="1:8" ht="16" customHeight="1">
      <c r="A13" s="85" t="s">
        <v>134</v>
      </c>
      <c r="B13" s="77"/>
    </row>
    <row r="14" spans="1:8" ht="15" customHeight="1">
      <c r="A14" s="37" t="s">
        <v>135</v>
      </c>
      <c r="B14" s="44"/>
    </row>
    <row r="15" spans="1:8" ht="15" customHeight="1">
      <c r="A15" s="37" t="s">
        <v>136</v>
      </c>
      <c r="B15" s="48">
        <v>20</v>
      </c>
    </row>
    <row r="16" spans="1:8" ht="60" customHeight="1">
      <c r="A16" s="37" t="s">
        <v>155</v>
      </c>
      <c r="B16" s="45" t="s">
        <v>159</v>
      </c>
    </row>
  </sheetData>
  <mergeCells count="3">
    <mergeCell ref="A1:F1"/>
    <mergeCell ref="A13:B13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4"/>
  <sheetViews>
    <sheetView showGridLines="0" tabSelected="1" topLeftCell="A79" workbookViewId="0">
      <selection activeCell="B84" sqref="B84"/>
    </sheetView>
  </sheetViews>
  <sheetFormatPr baseColWidth="10" defaultColWidth="8.83203125" defaultRowHeight="14"/>
  <cols>
    <col min="1" max="1" width="14" customWidth="1"/>
    <col min="2" max="2" width="18" customWidth="1"/>
    <col min="3" max="3" width="30" hidden="1" customWidth="1"/>
    <col min="4" max="4" width="84" customWidth="1"/>
    <col min="5" max="6" width="12" customWidth="1"/>
    <col min="7" max="7" width="14" customWidth="1"/>
    <col min="8" max="8" width="15" customWidth="1"/>
    <col min="9" max="9" width="16" customWidth="1"/>
    <col min="10" max="11" width="15" customWidth="1"/>
    <col min="12" max="13" width="17" customWidth="1"/>
    <col min="14" max="14" width="16" customWidth="1"/>
    <col min="15" max="15" width="18" customWidth="1"/>
  </cols>
  <sheetData>
    <row r="1" spans="1:15" ht="28.5" customHeight="1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5" ht="25.5" customHeight="1">
      <c r="A2" s="78" t="s">
        <v>1</v>
      </c>
      <c r="B2" s="77"/>
      <c r="C2" s="77"/>
      <c r="D2" s="77"/>
      <c r="E2" s="77"/>
      <c r="F2" s="77"/>
      <c r="G2" s="77"/>
      <c r="H2" s="77"/>
      <c r="I2" s="1"/>
      <c r="J2" s="1"/>
      <c r="K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5" ht="15" customHeight="1">
      <c r="A4" s="9" t="s">
        <v>2</v>
      </c>
      <c r="B4" s="9" t="s">
        <v>3</v>
      </c>
      <c r="D4" s="9" t="s">
        <v>4</v>
      </c>
      <c r="E4" s="9" t="s">
        <v>5</v>
      </c>
      <c r="F4" s="1"/>
      <c r="G4" s="49" t="s">
        <v>6</v>
      </c>
      <c r="H4" s="49" t="s">
        <v>7</v>
      </c>
      <c r="I4" s="49" t="s">
        <v>8</v>
      </c>
      <c r="J4" s="49" t="s">
        <v>9</v>
      </c>
      <c r="K4" s="49" t="s">
        <v>10</v>
      </c>
    </row>
    <row r="5" spans="1:15" ht="15" customHeight="1">
      <c r="A5" s="10" t="str">
        <f>Einstellungen!F5</f>
        <v>Juni 2026</v>
      </c>
      <c r="B5" s="11">
        <f>Einstellungen!B5</f>
        <v>85</v>
      </c>
      <c r="D5" s="11">
        <f>SUMIFS(E13:E214,A13:A214,"&gt;="&amp;Einstellungen!B4,A13:A214,"&lt;"&amp;DATE(YEAR(Einstellungen!B4),MONTH(Einstellungen!B4)+1,1))</f>
        <v>35.65</v>
      </c>
      <c r="E5" s="12">
        <f>SUMIFS(G13:G214,A13:A214,"&gt;="&amp;Einstellungen!B4,A13:A214,"&lt;"&amp;DATE(YEAR(Einstellungen!B4),MONTH(Einstellungen!B4)+1,1))</f>
        <v>3030.25</v>
      </c>
      <c r="F5" s="1"/>
      <c r="G5" s="50">
        <f ca="1">WEEKNUM(TODAY(),21)</f>
        <v>29</v>
      </c>
      <c r="H5" s="51">
        <f ca="1">TODAY()-WEEKDAY(TODAY(),2)+1</f>
        <v>46216</v>
      </c>
      <c r="I5" s="52">
        <f ca="1">SUMIFS($E$13:$E$214,$A$13:$A$214,"&gt;="&amp;$H$5,$A$13:$A$214,"&lt;"&amp;$H$5+7)</f>
        <v>23</v>
      </c>
      <c r="J5" s="53">
        <f>Einstellungen!$B$15</f>
        <v>20</v>
      </c>
      <c r="K5" s="52">
        <f ca="1">IF(OR(I5="",J5=""),"",J5-I5)</f>
        <v>-3</v>
      </c>
    </row>
    <row r="6" spans="1:15" ht="15" customHeight="1">
      <c r="A6" s="1"/>
      <c r="B6" s="1"/>
      <c r="C6" s="1"/>
      <c r="D6" s="1"/>
      <c r="E6" s="1"/>
      <c r="F6" s="1"/>
      <c r="G6" s="73" t="s">
        <v>11</v>
      </c>
      <c r="H6" s="74"/>
      <c r="I6" s="74"/>
      <c r="J6" s="74"/>
      <c r="K6" s="75"/>
    </row>
    <row r="7" spans="1:15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5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5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5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5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5" ht="15" customHeight="1">
      <c r="A12" s="8" t="s">
        <v>12</v>
      </c>
      <c r="B12" s="8" t="s">
        <v>13</v>
      </c>
      <c r="C12" s="8" t="s">
        <v>14</v>
      </c>
      <c r="D12" s="8" t="s">
        <v>15</v>
      </c>
      <c r="E12" s="8" t="s">
        <v>16</v>
      </c>
      <c r="F12" s="8" t="s">
        <v>3</v>
      </c>
      <c r="G12" s="8" t="s">
        <v>17</v>
      </c>
      <c r="H12" s="8" t="s">
        <v>18</v>
      </c>
      <c r="I12" s="8" t="s">
        <v>2</v>
      </c>
      <c r="J12" s="8" t="s">
        <v>19</v>
      </c>
      <c r="K12" s="8" t="s">
        <v>20</v>
      </c>
      <c r="L12" s="58" t="s">
        <v>21</v>
      </c>
      <c r="M12" s="58" t="s">
        <v>22</v>
      </c>
      <c r="N12" s="58" t="s">
        <v>23</v>
      </c>
      <c r="O12" s="58" t="s">
        <v>24</v>
      </c>
    </row>
    <row r="13" spans="1:15" ht="54" customHeight="1">
      <c r="A13" s="54">
        <v>46190</v>
      </c>
      <c r="B13" s="13" t="s">
        <v>25</v>
      </c>
      <c r="C13" s="13" t="s">
        <v>26</v>
      </c>
      <c r="D13" s="13" t="s">
        <v>27</v>
      </c>
      <c r="E13" s="46">
        <v>3.15</v>
      </c>
      <c r="F13" s="46">
        <f>IF(A13="","",Einstellungen!$B$5)</f>
        <v>85</v>
      </c>
      <c r="G13" s="47">
        <f t="shared" ref="G13:G76" si="0">IF(A13="","",L13*F13)</f>
        <v>267.75</v>
      </c>
      <c r="H13" s="14">
        <f t="shared" ref="H13:H76" si="1">IF(A13="","",WEEKNUM(A13,21))</f>
        <v>25</v>
      </c>
      <c r="I13" s="13" t="str">
        <f t="shared" ref="I13:I44" si="2">IF(A13="","",TEXT(A13,"[$-de-DE]MMMM YYYY"))</f>
        <v>Juni YYYY</v>
      </c>
      <c r="J13" s="13" t="s">
        <v>28</v>
      </c>
      <c r="K13" s="13" t="s">
        <v>29</v>
      </c>
      <c r="L13" s="59">
        <f>IF(A13="","",IF(Einstellungen!$B$15="","",MAX(0,MIN(E13,Einstellungen!$B$15-(SUMIFS($E$13:$E13,$H$13:$H13,H13)-E13)))))</f>
        <v>3.15</v>
      </c>
      <c r="M13" s="59">
        <f t="shared" ref="M13:M76" si="3">IF(A13="","",IF(L13="","",E13-L13))</f>
        <v>0</v>
      </c>
      <c r="N13" s="59">
        <f t="shared" ref="N13:N76" si="4">IF(A13="","",SUMIFS($E$13:$E$214,$H$13:$H$214,H13))</f>
        <v>10.3</v>
      </c>
      <c r="O13" s="59">
        <f>IF(A13="","",IF(Einstellungen!$B$15="","",Einstellungen!$B$15-N13))</f>
        <v>9.6999999999999993</v>
      </c>
    </row>
    <row r="14" spans="1:15" ht="54" customHeight="1">
      <c r="A14" s="54">
        <v>46191</v>
      </c>
      <c r="B14" s="13" t="s">
        <v>30</v>
      </c>
      <c r="C14" s="13" t="s">
        <v>31</v>
      </c>
      <c r="D14" s="13" t="s">
        <v>32</v>
      </c>
      <c r="E14" s="46">
        <v>0.75</v>
      </c>
      <c r="F14" s="46">
        <f>IF(A14="","",Einstellungen!$B$5)</f>
        <v>85</v>
      </c>
      <c r="G14" s="47">
        <f t="shared" si="0"/>
        <v>63.75</v>
      </c>
      <c r="H14" s="14">
        <f t="shared" si="1"/>
        <v>25</v>
      </c>
      <c r="I14" s="13" t="str">
        <f t="shared" si="2"/>
        <v>Juni YYYY</v>
      </c>
      <c r="J14" s="13" t="s">
        <v>33</v>
      </c>
      <c r="K14" s="13" t="s">
        <v>29</v>
      </c>
      <c r="L14" s="59">
        <f>IF(A14="","",IF(Einstellungen!$B$15="","",MAX(0,MIN(E14,Einstellungen!$B$15-(SUMIFS($E$13:$E14,$H$13:$H14,H14)-E14)))))</f>
        <v>0.75</v>
      </c>
      <c r="M14" s="59">
        <f t="shared" si="3"/>
        <v>0</v>
      </c>
      <c r="N14" s="59">
        <f t="shared" si="4"/>
        <v>10.3</v>
      </c>
      <c r="O14" s="59">
        <f>IF(A14="","",IF(Einstellungen!$B$15="","",Einstellungen!$B$15-N14))</f>
        <v>9.6999999999999993</v>
      </c>
    </row>
    <row r="15" spans="1:15" ht="54" customHeight="1">
      <c r="A15" s="54">
        <v>46191</v>
      </c>
      <c r="B15" s="13" t="s">
        <v>25</v>
      </c>
      <c r="C15" s="13" t="s">
        <v>34</v>
      </c>
      <c r="D15" s="13" t="s">
        <v>35</v>
      </c>
      <c r="E15" s="46">
        <v>1.5</v>
      </c>
      <c r="F15" s="46">
        <f>IF(A15="","",Einstellungen!$B$5)</f>
        <v>85</v>
      </c>
      <c r="G15" s="47">
        <f t="shared" si="0"/>
        <v>127.5</v>
      </c>
      <c r="H15" s="14">
        <f t="shared" si="1"/>
        <v>25</v>
      </c>
      <c r="I15" s="13" t="str">
        <f t="shared" si="2"/>
        <v>Juni YYYY</v>
      </c>
      <c r="J15" s="13" t="s">
        <v>36</v>
      </c>
      <c r="K15" s="13" t="s">
        <v>29</v>
      </c>
      <c r="L15" s="59">
        <f>IF(A15="","",IF(Einstellungen!$B$15="","",MAX(0,MIN(E15,Einstellungen!$B$15-(SUMIFS($E$13:$E15,$H$13:$H15,H15)-E15)))))</f>
        <v>1.5</v>
      </c>
      <c r="M15" s="59">
        <f t="shared" si="3"/>
        <v>0</v>
      </c>
      <c r="N15" s="59">
        <f t="shared" si="4"/>
        <v>10.3</v>
      </c>
      <c r="O15" s="59">
        <f>IF(A15="","",IF(Einstellungen!$B$15="","",Einstellungen!$B$15-N15))</f>
        <v>9.6999999999999993</v>
      </c>
    </row>
    <row r="16" spans="1:15" ht="54" customHeight="1">
      <c r="A16" s="54">
        <v>46191</v>
      </c>
      <c r="B16" s="13" t="s">
        <v>37</v>
      </c>
      <c r="C16" s="13" t="s">
        <v>38</v>
      </c>
      <c r="D16" s="13" t="s">
        <v>39</v>
      </c>
      <c r="E16" s="46">
        <v>0.5</v>
      </c>
      <c r="F16" s="46">
        <f>IF(A16="","",Einstellungen!$B$5)</f>
        <v>85</v>
      </c>
      <c r="G16" s="47">
        <f t="shared" si="0"/>
        <v>42.5</v>
      </c>
      <c r="H16" s="14">
        <f t="shared" si="1"/>
        <v>25</v>
      </c>
      <c r="I16" s="13" t="str">
        <f t="shared" si="2"/>
        <v>Juni YYYY</v>
      </c>
      <c r="J16" s="13" t="s">
        <v>40</v>
      </c>
      <c r="K16" s="13" t="s">
        <v>41</v>
      </c>
      <c r="L16" s="59">
        <f>IF(A16="","",IF(Einstellungen!$B$15="","",MAX(0,MIN(E16,Einstellungen!$B$15-(SUMIFS($E$13:$E16,$H$13:$H16,H16)-E16)))))</f>
        <v>0.5</v>
      </c>
      <c r="M16" s="59">
        <f t="shared" si="3"/>
        <v>0</v>
      </c>
      <c r="N16" s="59">
        <f t="shared" si="4"/>
        <v>10.3</v>
      </c>
      <c r="O16" s="59">
        <f>IF(A16="","",IF(Einstellungen!$B$15="","",Einstellungen!$B$15-N16))</f>
        <v>9.6999999999999993</v>
      </c>
    </row>
    <row r="17" spans="1:15" ht="54" customHeight="1">
      <c r="A17" s="54">
        <v>46192</v>
      </c>
      <c r="B17" s="13" t="s">
        <v>37</v>
      </c>
      <c r="C17" s="13" t="s">
        <v>42</v>
      </c>
      <c r="D17" s="13" t="s">
        <v>43</v>
      </c>
      <c r="E17" s="46">
        <v>1.1499999999999999</v>
      </c>
      <c r="F17" s="46">
        <f>IF(A17="","",Einstellungen!$B$5)</f>
        <v>85</v>
      </c>
      <c r="G17" s="47">
        <f t="shared" si="0"/>
        <v>97.749999999999986</v>
      </c>
      <c r="H17" s="14">
        <f t="shared" si="1"/>
        <v>25</v>
      </c>
      <c r="I17" s="13" t="str">
        <f t="shared" si="2"/>
        <v>Juni YYYY</v>
      </c>
      <c r="J17" s="13" t="s">
        <v>28</v>
      </c>
      <c r="K17" s="13" t="s">
        <v>41</v>
      </c>
      <c r="L17" s="59">
        <f>IF(A17="","",IF(Einstellungen!$B$15="","",MAX(0,MIN(E17,Einstellungen!$B$15-(SUMIFS($E$13:$E17,$H$13:$H17,H17)-E17)))))</f>
        <v>1.1499999999999999</v>
      </c>
      <c r="M17" s="59">
        <f t="shared" si="3"/>
        <v>0</v>
      </c>
      <c r="N17" s="59">
        <f t="shared" si="4"/>
        <v>10.3</v>
      </c>
      <c r="O17" s="59">
        <f>IF(A17="","",IF(Einstellungen!$B$15="","",Einstellungen!$B$15-N17))</f>
        <v>9.6999999999999993</v>
      </c>
    </row>
    <row r="18" spans="1:15" ht="54" customHeight="1">
      <c r="A18" s="54">
        <v>46193</v>
      </c>
      <c r="B18" s="13" t="s">
        <v>25</v>
      </c>
      <c r="C18" s="13" t="s">
        <v>44</v>
      </c>
      <c r="D18" s="13" t="s">
        <v>45</v>
      </c>
      <c r="E18" s="46">
        <v>2.75</v>
      </c>
      <c r="F18" s="46">
        <f>IF(A18="","",Einstellungen!$B$5)</f>
        <v>85</v>
      </c>
      <c r="G18" s="47">
        <f t="shared" si="0"/>
        <v>233.75</v>
      </c>
      <c r="H18" s="14">
        <f t="shared" si="1"/>
        <v>25</v>
      </c>
      <c r="I18" s="13" t="str">
        <f t="shared" si="2"/>
        <v>Juni YYYY</v>
      </c>
      <c r="J18" s="13" t="s">
        <v>28</v>
      </c>
      <c r="K18" s="13" t="s">
        <v>29</v>
      </c>
      <c r="L18" s="59">
        <f>IF(A18="","",IF(Einstellungen!$B$15="","",MAX(0,MIN(E18,Einstellungen!$B$15-(SUMIFS($E$13:$E18,$H$13:$H18,H18)-E18)))))</f>
        <v>2.75</v>
      </c>
      <c r="M18" s="59">
        <f t="shared" si="3"/>
        <v>0</v>
      </c>
      <c r="N18" s="59">
        <f t="shared" si="4"/>
        <v>10.3</v>
      </c>
      <c r="O18" s="59">
        <f>IF(A18="","",IF(Einstellungen!$B$15="","",Einstellungen!$B$15-N18))</f>
        <v>9.6999999999999993</v>
      </c>
    </row>
    <row r="19" spans="1:15" ht="54" customHeight="1">
      <c r="A19" s="55">
        <v>46194</v>
      </c>
      <c r="B19" s="31" t="s">
        <v>25</v>
      </c>
      <c r="C19" s="31" t="s">
        <v>46</v>
      </c>
      <c r="D19" s="31" t="s">
        <v>47</v>
      </c>
      <c r="E19" s="56">
        <v>0.5</v>
      </c>
      <c r="F19" s="46">
        <f>IF(A19="","",Einstellungen!$B$5)</f>
        <v>85</v>
      </c>
      <c r="G19" s="47">
        <f t="shared" si="0"/>
        <v>42.5</v>
      </c>
      <c r="H19" s="14">
        <f t="shared" si="1"/>
        <v>25</v>
      </c>
      <c r="I19" s="13" t="str">
        <f t="shared" si="2"/>
        <v>Juni YYYY</v>
      </c>
      <c r="J19" s="13" t="s">
        <v>28</v>
      </c>
      <c r="K19" s="13" t="s">
        <v>29</v>
      </c>
      <c r="L19" s="60">
        <f>IF(A19="","",IF(Einstellungen!$B$15="","",MAX(0,MIN(E19,Einstellungen!$B$15-(SUMIFS($E$13:$E19,$H$13:$H19,H19)-E19)))))</f>
        <v>0.5</v>
      </c>
      <c r="M19" s="60">
        <f t="shared" si="3"/>
        <v>0</v>
      </c>
      <c r="N19" s="60">
        <f t="shared" si="4"/>
        <v>10.3</v>
      </c>
      <c r="O19" s="60">
        <f>IF(A19="","",IF(Einstellungen!$B$15="","",Einstellungen!$B$15-N19))</f>
        <v>9.6999999999999993</v>
      </c>
    </row>
    <row r="20" spans="1:15" ht="54" customHeight="1">
      <c r="A20" s="54">
        <v>46196</v>
      </c>
      <c r="B20" s="13" t="s">
        <v>25</v>
      </c>
      <c r="C20" s="13" t="s">
        <v>48</v>
      </c>
      <c r="D20" s="13" t="s">
        <v>49</v>
      </c>
      <c r="E20" s="46">
        <v>1.2</v>
      </c>
      <c r="F20" s="46">
        <f>IF(A20="","",Einstellungen!$B$5)</f>
        <v>85</v>
      </c>
      <c r="G20" s="47">
        <f t="shared" si="0"/>
        <v>102</v>
      </c>
      <c r="H20" s="14">
        <f t="shared" si="1"/>
        <v>26</v>
      </c>
      <c r="I20" s="13" t="str">
        <f t="shared" si="2"/>
        <v>Juni YYYY</v>
      </c>
      <c r="J20" s="13"/>
      <c r="K20" s="13"/>
      <c r="L20" s="59">
        <f>IF(A20="","",IF(Einstellungen!$B$15="","",MAX(0,MIN(E20,Einstellungen!$B$15-(SUMIFS($E$13:$E20,$H$13:$H20,H20)-E20)))))</f>
        <v>1.2</v>
      </c>
      <c r="M20" s="59">
        <f t="shared" si="3"/>
        <v>0</v>
      </c>
      <c r="N20" s="59">
        <f t="shared" si="4"/>
        <v>16</v>
      </c>
      <c r="O20" s="59">
        <f>IF(A20="","",IF(Einstellungen!$B$15="","",Einstellungen!$B$15-N20))</f>
        <v>4</v>
      </c>
    </row>
    <row r="21" spans="1:15" ht="54" customHeight="1">
      <c r="A21" s="54">
        <v>46197</v>
      </c>
      <c r="B21" s="13" t="s">
        <v>50</v>
      </c>
      <c r="C21" s="13" t="s">
        <v>51</v>
      </c>
      <c r="D21" s="13" t="s">
        <v>52</v>
      </c>
      <c r="E21" s="46">
        <v>1</v>
      </c>
      <c r="F21" s="46">
        <f>IF(A21="","",Einstellungen!$B$5)</f>
        <v>85</v>
      </c>
      <c r="G21" s="47">
        <f t="shared" si="0"/>
        <v>85</v>
      </c>
      <c r="H21" s="14">
        <f t="shared" si="1"/>
        <v>26</v>
      </c>
      <c r="I21" s="13" t="str">
        <f t="shared" si="2"/>
        <v>Juni YYYY</v>
      </c>
      <c r="J21" s="13"/>
      <c r="K21" s="13"/>
      <c r="L21" s="59">
        <f>IF(A21="","",IF(Einstellungen!$B$15="","",MAX(0,MIN(E21,Einstellungen!$B$15-(SUMIFS($E$13:$E21,$H$13:$H21,H21)-E21)))))</f>
        <v>1</v>
      </c>
      <c r="M21" s="59">
        <f t="shared" si="3"/>
        <v>0</v>
      </c>
      <c r="N21" s="59">
        <f t="shared" si="4"/>
        <v>16</v>
      </c>
      <c r="O21" s="59">
        <f>IF(A21="","",IF(Einstellungen!$B$15="","",Einstellungen!$B$15-N21))</f>
        <v>4</v>
      </c>
    </row>
    <row r="22" spans="1:15" ht="54" customHeight="1">
      <c r="A22" s="54">
        <v>46197</v>
      </c>
      <c r="B22" s="13" t="s">
        <v>50</v>
      </c>
      <c r="C22" s="13" t="s">
        <v>53</v>
      </c>
      <c r="D22" s="13" t="s">
        <v>54</v>
      </c>
      <c r="E22" s="46">
        <v>1.6</v>
      </c>
      <c r="F22" s="46">
        <f>IF(A22="","",Einstellungen!$B$5)</f>
        <v>85</v>
      </c>
      <c r="G22" s="47">
        <f t="shared" si="0"/>
        <v>136</v>
      </c>
      <c r="H22" s="14">
        <f t="shared" si="1"/>
        <v>26</v>
      </c>
      <c r="I22" s="13" t="str">
        <f t="shared" si="2"/>
        <v>Juni YYYY</v>
      </c>
      <c r="J22" s="13"/>
      <c r="K22" s="13"/>
      <c r="L22" s="59">
        <f>IF(A22="","",IF(Einstellungen!$B$15="","",MAX(0,MIN(E22,Einstellungen!$B$15-(SUMIFS($E$13:$E22,$H$13:$H22,H22)-E22)))))</f>
        <v>1.6</v>
      </c>
      <c r="M22" s="59">
        <f t="shared" si="3"/>
        <v>0</v>
      </c>
      <c r="N22" s="59">
        <f t="shared" si="4"/>
        <v>16</v>
      </c>
      <c r="O22" s="59">
        <f>IF(A22="","",IF(Einstellungen!$B$15="","",Einstellungen!$B$15-N22))</f>
        <v>4</v>
      </c>
    </row>
    <row r="23" spans="1:15" ht="54" customHeight="1">
      <c r="A23" s="54">
        <v>46197</v>
      </c>
      <c r="B23" s="13" t="s">
        <v>50</v>
      </c>
      <c r="C23" s="13" t="s">
        <v>55</v>
      </c>
      <c r="D23" s="13" t="s">
        <v>56</v>
      </c>
      <c r="E23" s="46">
        <v>0.5</v>
      </c>
      <c r="F23" s="46">
        <f>IF(A23="","",Einstellungen!$B$5)</f>
        <v>85</v>
      </c>
      <c r="G23" s="47">
        <f t="shared" si="0"/>
        <v>42.5</v>
      </c>
      <c r="H23" s="14">
        <f t="shared" si="1"/>
        <v>26</v>
      </c>
      <c r="I23" s="13" t="str">
        <f t="shared" si="2"/>
        <v>Juni YYYY</v>
      </c>
      <c r="J23" s="13"/>
      <c r="K23" s="13"/>
      <c r="L23" s="59">
        <f>IF(A23="","",IF(Einstellungen!$B$15="","",MAX(0,MIN(E23,Einstellungen!$B$15-(SUMIFS($E$13:$E23,$H$13:$H23,H23)-E23)))))</f>
        <v>0.5</v>
      </c>
      <c r="M23" s="59">
        <f t="shared" si="3"/>
        <v>0</v>
      </c>
      <c r="N23" s="59">
        <f t="shared" si="4"/>
        <v>16</v>
      </c>
      <c r="O23" s="59">
        <f>IF(A23="","",IF(Einstellungen!$B$15="","",Einstellungen!$B$15-N23))</f>
        <v>4</v>
      </c>
    </row>
    <row r="24" spans="1:15" ht="54" customHeight="1">
      <c r="A24" s="54">
        <v>46198</v>
      </c>
      <c r="B24" s="13" t="s">
        <v>50</v>
      </c>
      <c r="C24" s="13" t="s">
        <v>57</v>
      </c>
      <c r="D24" s="13" t="s">
        <v>58</v>
      </c>
      <c r="E24" s="46">
        <v>1.2</v>
      </c>
      <c r="F24" s="46">
        <f>IF(A24="","",Einstellungen!$B$5)</f>
        <v>85</v>
      </c>
      <c r="G24" s="47">
        <f t="shared" si="0"/>
        <v>102</v>
      </c>
      <c r="H24" s="14">
        <f t="shared" si="1"/>
        <v>26</v>
      </c>
      <c r="I24" s="13" t="str">
        <f t="shared" si="2"/>
        <v>Juni YYYY</v>
      </c>
      <c r="J24" s="13"/>
      <c r="K24" s="13"/>
      <c r="L24" s="59">
        <f>IF(A24="","",IF(Einstellungen!$B$15="","",MAX(0,MIN(E24,Einstellungen!$B$15-(SUMIFS($E$13:$E24,$H$13:$H24,H24)-E24)))))</f>
        <v>1.2</v>
      </c>
      <c r="M24" s="59">
        <f t="shared" si="3"/>
        <v>0</v>
      </c>
      <c r="N24" s="59">
        <f t="shared" si="4"/>
        <v>16</v>
      </c>
      <c r="O24" s="59">
        <f>IF(A24="","",IF(Einstellungen!$B$15="","",Einstellungen!$B$15-N24))</f>
        <v>4</v>
      </c>
    </row>
    <row r="25" spans="1:15" ht="54" customHeight="1">
      <c r="A25" s="54">
        <v>46198</v>
      </c>
      <c r="B25" s="13" t="s">
        <v>50</v>
      </c>
      <c r="C25" s="13" t="s">
        <v>59</v>
      </c>
      <c r="D25" s="13" t="s">
        <v>60</v>
      </c>
      <c r="E25" s="46">
        <v>0.6</v>
      </c>
      <c r="F25" s="46">
        <f>IF(A25="","",Einstellungen!$B$5)</f>
        <v>85</v>
      </c>
      <c r="G25" s="47">
        <f t="shared" si="0"/>
        <v>51</v>
      </c>
      <c r="H25" s="14">
        <f t="shared" si="1"/>
        <v>26</v>
      </c>
      <c r="I25" s="13" t="str">
        <f t="shared" si="2"/>
        <v>Juni YYYY</v>
      </c>
      <c r="J25" s="13"/>
      <c r="K25" s="13"/>
      <c r="L25" s="59">
        <f>IF(A25="","",IF(Einstellungen!$B$15="","",MAX(0,MIN(E25,Einstellungen!$B$15-(SUMIFS($E$13:$E25,$H$13:$H25,H25)-E25)))))</f>
        <v>0.6</v>
      </c>
      <c r="M25" s="59">
        <f t="shared" si="3"/>
        <v>0</v>
      </c>
      <c r="N25" s="59">
        <f t="shared" si="4"/>
        <v>16</v>
      </c>
      <c r="O25" s="59">
        <f>IF(A25="","",IF(Einstellungen!$B$15="","",Einstellungen!$B$15-N25))</f>
        <v>4</v>
      </c>
    </row>
    <row r="26" spans="1:15" ht="54" customHeight="1">
      <c r="A26" s="54">
        <v>46198</v>
      </c>
      <c r="B26" s="13" t="s">
        <v>50</v>
      </c>
      <c r="C26" s="13" t="s">
        <v>61</v>
      </c>
      <c r="D26" s="13" t="s">
        <v>62</v>
      </c>
      <c r="E26" s="46">
        <v>2.15</v>
      </c>
      <c r="F26" s="46">
        <f>IF(A26="","",Einstellungen!$B$5)</f>
        <v>85</v>
      </c>
      <c r="G26" s="47">
        <f t="shared" si="0"/>
        <v>182.75</v>
      </c>
      <c r="H26" s="14">
        <f t="shared" si="1"/>
        <v>26</v>
      </c>
      <c r="I26" s="13" t="str">
        <f t="shared" si="2"/>
        <v>Juni YYYY</v>
      </c>
      <c r="J26" s="13"/>
      <c r="K26" s="13"/>
      <c r="L26" s="59">
        <f>IF(A26="","",IF(Einstellungen!$B$15="","",MAX(0,MIN(E26,Einstellungen!$B$15-(SUMIFS($E$13:$E26,$H$13:$H26,H26)-E26)))))</f>
        <v>2.15</v>
      </c>
      <c r="M26" s="59">
        <f t="shared" si="3"/>
        <v>0</v>
      </c>
      <c r="N26" s="59">
        <f t="shared" si="4"/>
        <v>16</v>
      </c>
      <c r="O26" s="59">
        <f>IF(A26="","",IF(Einstellungen!$B$15="","",Einstellungen!$B$15-N26))</f>
        <v>4</v>
      </c>
    </row>
    <row r="27" spans="1:15" ht="54" customHeight="1">
      <c r="A27" s="54">
        <v>46198</v>
      </c>
      <c r="B27" s="13" t="s">
        <v>50</v>
      </c>
      <c r="C27" s="13" t="s">
        <v>63</v>
      </c>
      <c r="D27" s="13" t="s">
        <v>64</v>
      </c>
      <c r="E27" s="46">
        <v>0.3</v>
      </c>
      <c r="F27" s="46">
        <f>IF(A27="","",Einstellungen!$B$5)</f>
        <v>85</v>
      </c>
      <c r="G27" s="47">
        <f t="shared" si="0"/>
        <v>25.5</v>
      </c>
      <c r="H27" s="14">
        <f t="shared" si="1"/>
        <v>26</v>
      </c>
      <c r="I27" s="13" t="str">
        <f t="shared" si="2"/>
        <v>Juni YYYY</v>
      </c>
      <c r="J27" s="13"/>
      <c r="K27" s="13"/>
      <c r="L27" s="59">
        <f>IF(A27="","",IF(Einstellungen!$B$15="","",MAX(0,MIN(E27,Einstellungen!$B$15-(SUMIFS($E$13:$E27,$H$13:$H27,H27)-E27)))))</f>
        <v>0.3</v>
      </c>
      <c r="M27" s="59">
        <f t="shared" si="3"/>
        <v>0</v>
      </c>
      <c r="N27" s="59">
        <f t="shared" si="4"/>
        <v>16</v>
      </c>
      <c r="O27" s="59">
        <f>IF(A27="","",IF(Einstellungen!$B$15="","",Einstellungen!$B$15-N27))</f>
        <v>4</v>
      </c>
    </row>
    <row r="28" spans="1:15" ht="54" customHeight="1">
      <c r="A28" s="54">
        <v>46198</v>
      </c>
      <c r="B28" s="13" t="s">
        <v>50</v>
      </c>
      <c r="C28" s="13" t="s">
        <v>65</v>
      </c>
      <c r="D28" s="13" t="s">
        <v>66</v>
      </c>
      <c r="E28" s="46">
        <v>0.5</v>
      </c>
      <c r="F28" s="46">
        <f>IF(A28="","",Einstellungen!$B$5)</f>
        <v>85</v>
      </c>
      <c r="G28" s="47">
        <f t="shared" si="0"/>
        <v>42.5</v>
      </c>
      <c r="H28" s="14">
        <f t="shared" si="1"/>
        <v>26</v>
      </c>
      <c r="I28" s="13" t="str">
        <f t="shared" si="2"/>
        <v>Juni YYYY</v>
      </c>
      <c r="J28" s="13"/>
      <c r="K28" s="13"/>
      <c r="L28" s="59">
        <f>IF(A28="","",IF(Einstellungen!$B$15="","",MAX(0,MIN(E28,Einstellungen!$B$15-(SUMIFS($E$13:$E28,$H$13:$H28,H28)-E28)))))</f>
        <v>0.5</v>
      </c>
      <c r="M28" s="59">
        <f t="shared" si="3"/>
        <v>0</v>
      </c>
      <c r="N28" s="59">
        <f t="shared" si="4"/>
        <v>16</v>
      </c>
      <c r="O28" s="59">
        <f>IF(A28="","",IF(Einstellungen!$B$15="","",Einstellungen!$B$15-N28))</f>
        <v>4</v>
      </c>
    </row>
    <row r="29" spans="1:15" ht="54" customHeight="1">
      <c r="A29" s="54">
        <v>46199</v>
      </c>
      <c r="B29" s="13" t="s">
        <v>50</v>
      </c>
      <c r="C29" s="13" t="s">
        <v>67</v>
      </c>
      <c r="D29" s="13" t="s">
        <v>68</v>
      </c>
      <c r="E29" s="46">
        <v>1.55</v>
      </c>
      <c r="F29" s="46">
        <f>IF(A29="","",Einstellungen!$B$5)</f>
        <v>85</v>
      </c>
      <c r="G29" s="47">
        <f t="shared" si="0"/>
        <v>131.75</v>
      </c>
      <c r="H29" s="14">
        <f t="shared" si="1"/>
        <v>26</v>
      </c>
      <c r="I29" s="13" t="str">
        <f t="shared" si="2"/>
        <v>Juni YYYY</v>
      </c>
      <c r="J29" s="13"/>
      <c r="K29" s="13"/>
      <c r="L29" s="59">
        <f>IF(A29="","",IF(Einstellungen!$B$15="","",MAX(0,MIN(E29,Einstellungen!$B$15-(SUMIFS($E$13:$E29,$H$13:$H29,H29)-E29)))))</f>
        <v>1.55</v>
      </c>
      <c r="M29" s="59">
        <f t="shared" si="3"/>
        <v>0</v>
      </c>
      <c r="N29" s="59">
        <f t="shared" si="4"/>
        <v>16</v>
      </c>
      <c r="O29" s="59">
        <f>IF(A29="","",IF(Einstellungen!$B$15="","",Einstellungen!$B$15-N29))</f>
        <v>4</v>
      </c>
    </row>
    <row r="30" spans="1:15" ht="54" customHeight="1">
      <c r="A30" s="54">
        <v>46199</v>
      </c>
      <c r="B30" s="13" t="s">
        <v>50</v>
      </c>
      <c r="C30" s="13" t="s">
        <v>69</v>
      </c>
      <c r="D30" s="13" t="s">
        <v>70</v>
      </c>
      <c r="E30" s="46">
        <v>1.1000000000000001</v>
      </c>
      <c r="F30" s="46">
        <f>IF(A30="","",Einstellungen!$B$5)</f>
        <v>85</v>
      </c>
      <c r="G30" s="47">
        <f t="shared" si="0"/>
        <v>93.500000000000014</v>
      </c>
      <c r="H30" s="14">
        <f t="shared" si="1"/>
        <v>26</v>
      </c>
      <c r="I30" s="13" t="str">
        <f t="shared" si="2"/>
        <v>Juni YYYY</v>
      </c>
      <c r="J30" s="13"/>
      <c r="K30" s="13"/>
      <c r="L30" s="59">
        <f>IF(A30="","",IF(Einstellungen!$B$15="","",MAX(0,MIN(E30,Einstellungen!$B$15-(SUMIFS($E$13:$E30,$H$13:$H30,H30)-E30)))))</f>
        <v>1.1000000000000001</v>
      </c>
      <c r="M30" s="59">
        <f t="shared" si="3"/>
        <v>0</v>
      </c>
      <c r="N30" s="59">
        <f t="shared" si="4"/>
        <v>16</v>
      </c>
      <c r="O30" s="59">
        <f>IF(A30="","",IF(Einstellungen!$B$15="","",Einstellungen!$B$15-N30))</f>
        <v>4</v>
      </c>
    </row>
    <row r="31" spans="1:15" ht="54" customHeight="1">
      <c r="A31" s="54">
        <v>46199</v>
      </c>
      <c r="B31" s="13" t="s">
        <v>50</v>
      </c>
      <c r="C31" s="13" t="s">
        <v>71</v>
      </c>
      <c r="D31" s="13" t="s">
        <v>72</v>
      </c>
      <c r="E31" s="46">
        <v>0.7</v>
      </c>
      <c r="F31" s="46">
        <f>IF(A31="","",Einstellungen!$B$5)</f>
        <v>85</v>
      </c>
      <c r="G31" s="47">
        <f t="shared" si="0"/>
        <v>59.499999999999993</v>
      </c>
      <c r="H31" s="14">
        <f t="shared" si="1"/>
        <v>26</v>
      </c>
      <c r="I31" s="13" t="str">
        <f t="shared" si="2"/>
        <v>Juni YYYY</v>
      </c>
      <c r="J31" s="13"/>
      <c r="K31" s="13"/>
      <c r="L31" s="59">
        <f>IF(A31="","",IF(Einstellungen!$B$15="","",MAX(0,MIN(E31,Einstellungen!$B$15-(SUMIFS($E$13:$E31,$H$13:$H31,H31)-E31)))))</f>
        <v>0.7</v>
      </c>
      <c r="M31" s="59">
        <f t="shared" si="3"/>
        <v>0</v>
      </c>
      <c r="N31" s="59">
        <f t="shared" si="4"/>
        <v>16</v>
      </c>
      <c r="O31" s="59">
        <f>IF(A31="","",IF(Einstellungen!$B$15="","",Einstellungen!$B$15-N31))</f>
        <v>4</v>
      </c>
    </row>
    <row r="32" spans="1:15" ht="54" customHeight="1">
      <c r="A32" s="54">
        <v>46199</v>
      </c>
      <c r="B32" s="13" t="s">
        <v>50</v>
      </c>
      <c r="C32" s="13" t="s">
        <v>73</v>
      </c>
      <c r="D32" s="13" t="s">
        <v>74</v>
      </c>
      <c r="E32" s="46">
        <v>0.65</v>
      </c>
      <c r="F32" s="46">
        <f>IF(A32="","",Einstellungen!$B$5)</f>
        <v>85</v>
      </c>
      <c r="G32" s="47">
        <f t="shared" si="0"/>
        <v>55.25</v>
      </c>
      <c r="H32" s="14">
        <f t="shared" si="1"/>
        <v>26</v>
      </c>
      <c r="I32" s="13" t="str">
        <f t="shared" si="2"/>
        <v>Juni YYYY</v>
      </c>
      <c r="J32" s="13"/>
      <c r="K32" s="13"/>
      <c r="L32" s="59">
        <f>IF(A32="","",IF(Einstellungen!$B$15="","",MAX(0,MIN(E32,Einstellungen!$B$15-(SUMIFS($E$13:$E32,$H$13:$H32,H32)-E32)))))</f>
        <v>0.65</v>
      </c>
      <c r="M32" s="59">
        <f t="shared" si="3"/>
        <v>0</v>
      </c>
      <c r="N32" s="59">
        <f t="shared" si="4"/>
        <v>16</v>
      </c>
      <c r="O32" s="59">
        <f>IF(A32="","",IF(Einstellungen!$B$15="","",Einstellungen!$B$15-N32))</f>
        <v>4</v>
      </c>
    </row>
    <row r="33" spans="1:15" ht="54" customHeight="1">
      <c r="A33" s="54">
        <v>46199</v>
      </c>
      <c r="B33" s="13" t="s">
        <v>50</v>
      </c>
      <c r="C33" s="13" t="s">
        <v>75</v>
      </c>
      <c r="D33" s="13" t="s">
        <v>76</v>
      </c>
      <c r="E33" s="46">
        <v>0.75</v>
      </c>
      <c r="F33" s="46">
        <f>IF(A33="","",Einstellungen!$B$5)</f>
        <v>85</v>
      </c>
      <c r="G33" s="47">
        <f t="shared" si="0"/>
        <v>63.75</v>
      </c>
      <c r="H33" s="14">
        <f t="shared" si="1"/>
        <v>26</v>
      </c>
      <c r="I33" s="13" t="str">
        <f t="shared" si="2"/>
        <v>Juni YYYY</v>
      </c>
      <c r="J33" s="13"/>
      <c r="K33" s="13"/>
      <c r="L33" s="59">
        <f>IF(A33="","",IF(Einstellungen!$B$15="","",MAX(0,MIN(E33,Einstellungen!$B$15-(SUMIFS($E$13:$E33,$H$13:$H33,H33)-E33)))))</f>
        <v>0.75</v>
      </c>
      <c r="M33" s="59">
        <f t="shared" si="3"/>
        <v>0</v>
      </c>
      <c r="N33" s="59">
        <f t="shared" si="4"/>
        <v>16</v>
      </c>
      <c r="O33" s="59">
        <f>IF(A33="","",IF(Einstellungen!$B$15="","",Einstellungen!$B$15-N33))</f>
        <v>4</v>
      </c>
    </row>
    <row r="34" spans="1:15" ht="54" customHeight="1">
      <c r="A34" s="54">
        <v>46199</v>
      </c>
      <c r="B34" s="13" t="s">
        <v>50</v>
      </c>
      <c r="C34" s="13" t="s">
        <v>77</v>
      </c>
      <c r="D34" s="13" t="s">
        <v>78</v>
      </c>
      <c r="E34" s="46">
        <v>1.2</v>
      </c>
      <c r="F34" s="46">
        <f>IF(A34="","",Einstellungen!$B$5)</f>
        <v>85</v>
      </c>
      <c r="G34" s="47">
        <f t="shared" si="0"/>
        <v>102</v>
      </c>
      <c r="H34" s="14">
        <f t="shared" si="1"/>
        <v>26</v>
      </c>
      <c r="I34" s="13" t="str">
        <f t="shared" si="2"/>
        <v>Juni YYYY</v>
      </c>
      <c r="J34" s="13"/>
      <c r="K34" s="13"/>
      <c r="L34" s="59">
        <f>IF(A34="","",IF(Einstellungen!$B$15="","",MAX(0,MIN(E34,Einstellungen!$B$15-(SUMIFS($E$13:$E34,$H$13:$H34,H34)-E34)))))</f>
        <v>1.2</v>
      </c>
      <c r="M34" s="59">
        <f t="shared" si="3"/>
        <v>0</v>
      </c>
      <c r="N34" s="59">
        <f t="shared" si="4"/>
        <v>16</v>
      </c>
      <c r="O34" s="59">
        <f>IF(A34="","",IF(Einstellungen!$B$15="","",Einstellungen!$B$15-N34))</f>
        <v>4</v>
      </c>
    </row>
    <row r="35" spans="1:15" ht="54" customHeight="1">
      <c r="A35" s="54">
        <v>46200</v>
      </c>
      <c r="B35" s="13" t="s">
        <v>50</v>
      </c>
      <c r="C35" s="13" t="s">
        <v>79</v>
      </c>
      <c r="D35" s="13" t="s">
        <v>80</v>
      </c>
      <c r="E35" s="46">
        <v>1</v>
      </c>
      <c r="F35" s="46">
        <f>IF(A35="","",Einstellungen!$B$5)</f>
        <v>85</v>
      </c>
      <c r="G35" s="47">
        <f t="shared" si="0"/>
        <v>85</v>
      </c>
      <c r="H35" s="14">
        <f t="shared" si="1"/>
        <v>26</v>
      </c>
      <c r="I35" s="13" t="str">
        <f t="shared" si="2"/>
        <v>Juni YYYY</v>
      </c>
      <c r="J35" s="13"/>
      <c r="K35" s="13"/>
      <c r="L35" s="59">
        <f>IF(A35="","",IF(Einstellungen!$B$15="","",MAX(0,MIN(E35,Einstellungen!$B$15-(SUMIFS($E$13:$E35,$H$13:$H35,H35)-E35)))))</f>
        <v>1</v>
      </c>
      <c r="M35" s="59">
        <f t="shared" si="3"/>
        <v>0</v>
      </c>
      <c r="N35" s="59">
        <f t="shared" si="4"/>
        <v>16</v>
      </c>
      <c r="O35" s="59">
        <f>IF(A35="","",IF(Einstellungen!$B$15="","",Einstellungen!$B$15-N35))</f>
        <v>4</v>
      </c>
    </row>
    <row r="36" spans="1:15" ht="54" customHeight="1">
      <c r="A36" s="54">
        <v>46202</v>
      </c>
      <c r="B36" s="13" t="s">
        <v>50</v>
      </c>
      <c r="C36" s="13" t="s">
        <v>81</v>
      </c>
      <c r="D36" s="13" t="s">
        <v>82</v>
      </c>
      <c r="E36" s="46">
        <v>0.2</v>
      </c>
      <c r="F36" s="46">
        <f>IF(A36="","",Einstellungen!$B$5)</f>
        <v>85</v>
      </c>
      <c r="G36" s="47">
        <f t="shared" si="0"/>
        <v>17</v>
      </c>
      <c r="H36" s="14">
        <f t="shared" si="1"/>
        <v>27</v>
      </c>
      <c r="I36" s="13" t="str">
        <f t="shared" si="2"/>
        <v>Juni YYYY</v>
      </c>
      <c r="J36" s="13"/>
      <c r="K36" s="13"/>
      <c r="L36" s="59">
        <f>IF(A36="","",IF(Einstellungen!$B$15="","",MAX(0,MIN(E36,Einstellungen!$B$15-(SUMIFS($E$13:$E36,$H$13:$H36,H36)-E36)))))</f>
        <v>0.2</v>
      </c>
      <c r="M36" s="59">
        <f t="shared" si="3"/>
        <v>0</v>
      </c>
      <c r="N36" s="59">
        <f t="shared" si="4"/>
        <v>19.849999999999998</v>
      </c>
      <c r="O36" s="59">
        <f>IF(A36="","",IF(Einstellungen!$B$15="","",Einstellungen!$B$15-N36))</f>
        <v>0.15000000000000213</v>
      </c>
    </row>
    <row r="37" spans="1:15" ht="54" customHeight="1">
      <c r="A37" s="54">
        <v>46202</v>
      </c>
      <c r="B37" s="13" t="s">
        <v>50</v>
      </c>
      <c r="C37" s="13" t="s">
        <v>83</v>
      </c>
      <c r="D37" s="13" t="s">
        <v>84</v>
      </c>
      <c r="E37" s="46">
        <v>0.8</v>
      </c>
      <c r="F37" s="46">
        <f>IF(A37="","",Einstellungen!$B$5)</f>
        <v>85</v>
      </c>
      <c r="G37" s="47">
        <f t="shared" si="0"/>
        <v>68</v>
      </c>
      <c r="H37" s="14">
        <f t="shared" si="1"/>
        <v>27</v>
      </c>
      <c r="I37" s="13" t="str">
        <f t="shared" si="2"/>
        <v>Juni YYYY</v>
      </c>
      <c r="J37" s="13"/>
      <c r="K37" s="13"/>
      <c r="L37" s="59">
        <f>IF(A37="","",IF(Einstellungen!$B$15="","",MAX(0,MIN(E37,Einstellungen!$B$15-(SUMIFS($E$13:$E37,$H$13:$H37,H37)-E37)))))</f>
        <v>0.8</v>
      </c>
      <c r="M37" s="59">
        <f t="shared" si="3"/>
        <v>0</v>
      </c>
      <c r="N37" s="59">
        <f t="shared" si="4"/>
        <v>19.849999999999998</v>
      </c>
      <c r="O37" s="59">
        <f>IF(A37="","",IF(Einstellungen!$B$15="","",Einstellungen!$B$15-N37))</f>
        <v>0.15000000000000213</v>
      </c>
    </row>
    <row r="38" spans="1:15" ht="54" customHeight="1">
      <c r="A38" s="54">
        <v>46202</v>
      </c>
      <c r="B38" s="13" t="s">
        <v>50</v>
      </c>
      <c r="C38" s="13" t="s">
        <v>85</v>
      </c>
      <c r="D38" s="13" t="s">
        <v>86</v>
      </c>
      <c r="E38" s="46">
        <v>3.8</v>
      </c>
      <c r="F38" s="46">
        <f>IF(A38="","",Einstellungen!$B$5)</f>
        <v>85</v>
      </c>
      <c r="G38" s="47">
        <f t="shared" si="0"/>
        <v>323</v>
      </c>
      <c r="H38" s="14">
        <f t="shared" si="1"/>
        <v>27</v>
      </c>
      <c r="I38" s="13" t="str">
        <f t="shared" si="2"/>
        <v>Juni YYYY</v>
      </c>
      <c r="J38" s="13"/>
      <c r="K38" s="13"/>
      <c r="L38" s="59">
        <f>IF(A38="","",IF(Einstellungen!$B$15="","",MAX(0,MIN(E38,Einstellungen!$B$15-(SUMIFS($E$13:$E38,$H$13:$H38,H38)-E38)))))</f>
        <v>3.8</v>
      </c>
      <c r="M38" s="59">
        <f t="shared" si="3"/>
        <v>0</v>
      </c>
      <c r="N38" s="59">
        <f t="shared" si="4"/>
        <v>19.849999999999998</v>
      </c>
      <c r="O38" s="59">
        <f>IF(A38="","",IF(Einstellungen!$B$15="","",Einstellungen!$B$15-N38))</f>
        <v>0.15000000000000213</v>
      </c>
    </row>
    <row r="39" spans="1:15" ht="54" customHeight="1">
      <c r="A39" s="54">
        <v>46202</v>
      </c>
      <c r="B39" s="13" t="s">
        <v>50</v>
      </c>
      <c r="C39" s="13" t="s">
        <v>87</v>
      </c>
      <c r="D39" s="13" t="s">
        <v>88</v>
      </c>
      <c r="E39" s="46">
        <v>1</v>
      </c>
      <c r="F39" s="46">
        <f>IF(A39="","",Einstellungen!$B$5)</f>
        <v>85</v>
      </c>
      <c r="G39" s="47">
        <f t="shared" si="0"/>
        <v>85</v>
      </c>
      <c r="H39" s="14">
        <f t="shared" si="1"/>
        <v>27</v>
      </c>
      <c r="I39" s="13" t="str">
        <f t="shared" si="2"/>
        <v>Juni YYYY</v>
      </c>
      <c r="J39" s="13"/>
      <c r="K39" s="13"/>
      <c r="L39" s="59">
        <f>IF(A39="","",IF(Einstellungen!$B$15="","",MAX(0,MIN(E39,Einstellungen!$B$15-(SUMIFS($E$13:$E39,$H$13:$H39,H39)-E39)))))</f>
        <v>1</v>
      </c>
      <c r="M39" s="59">
        <f t="shared" si="3"/>
        <v>0</v>
      </c>
      <c r="N39" s="59">
        <f t="shared" si="4"/>
        <v>19.849999999999998</v>
      </c>
      <c r="O39" s="59">
        <f>IF(A39="","",IF(Einstellungen!$B$15="","",Einstellungen!$B$15-N39))</f>
        <v>0.15000000000000213</v>
      </c>
    </row>
    <row r="40" spans="1:15" ht="54" customHeight="1">
      <c r="A40" s="54">
        <v>46203</v>
      </c>
      <c r="B40" s="13" t="s">
        <v>50</v>
      </c>
      <c r="C40" s="13" t="s">
        <v>89</v>
      </c>
      <c r="D40" s="13" t="s">
        <v>90</v>
      </c>
      <c r="E40" s="46">
        <v>1.2</v>
      </c>
      <c r="F40" s="46">
        <f>IF(A40="","",Einstellungen!$B$5)</f>
        <v>85</v>
      </c>
      <c r="G40" s="47">
        <f t="shared" si="0"/>
        <v>102</v>
      </c>
      <c r="H40" s="14">
        <f t="shared" si="1"/>
        <v>27</v>
      </c>
      <c r="I40" s="13" t="str">
        <f t="shared" si="2"/>
        <v>Juni YYYY</v>
      </c>
      <c r="J40" s="13"/>
      <c r="K40" s="13"/>
      <c r="L40" s="59">
        <f>IF(A40="","",IF(Einstellungen!$B$15="","",MAX(0,MIN(E40,Einstellungen!$B$15-(SUMIFS($E$13:$E40,$H$13:$H40,H40)-E40)))))</f>
        <v>1.2</v>
      </c>
      <c r="M40" s="59">
        <f t="shared" si="3"/>
        <v>0</v>
      </c>
      <c r="N40" s="59">
        <f t="shared" si="4"/>
        <v>19.849999999999998</v>
      </c>
      <c r="O40" s="59">
        <f>IF(A40="","",IF(Einstellungen!$B$15="","",Einstellungen!$B$15-N40))</f>
        <v>0.15000000000000213</v>
      </c>
    </row>
    <row r="41" spans="1:15" ht="54" customHeight="1">
      <c r="A41" s="54">
        <v>46203</v>
      </c>
      <c r="B41" s="13" t="s">
        <v>50</v>
      </c>
      <c r="C41" s="13" t="s">
        <v>91</v>
      </c>
      <c r="D41" s="13" t="s">
        <v>92</v>
      </c>
      <c r="E41" s="46">
        <v>1.75</v>
      </c>
      <c r="F41" s="46">
        <f>IF(A41="","",Einstellungen!$B$5)</f>
        <v>85</v>
      </c>
      <c r="G41" s="47">
        <f t="shared" si="0"/>
        <v>148.75</v>
      </c>
      <c r="H41" s="14">
        <f t="shared" si="1"/>
        <v>27</v>
      </c>
      <c r="I41" s="13" t="str">
        <f t="shared" si="2"/>
        <v>Juni YYYY</v>
      </c>
      <c r="J41" s="13"/>
      <c r="K41" s="13"/>
      <c r="L41" s="59">
        <f>IF(A41="","",IF(Einstellungen!$B$15="","",MAX(0,MIN(E41,Einstellungen!$B$15-(SUMIFS($E$13:$E41,$H$13:$H41,H41)-E41)))))</f>
        <v>1.75</v>
      </c>
      <c r="M41" s="59">
        <f t="shared" si="3"/>
        <v>0</v>
      </c>
      <c r="N41" s="59">
        <f t="shared" si="4"/>
        <v>19.849999999999998</v>
      </c>
      <c r="O41" s="59">
        <f>IF(A41="","",IF(Einstellungen!$B$15="","",Einstellungen!$B$15-N41))</f>
        <v>0.15000000000000213</v>
      </c>
    </row>
    <row r="42" spans="1:15" ht="54" customHeight="1">
      <c r="A42" s="54">
        <v>46203</v>
      </c>
      <c r="B42" s="13" t="s">
        <v>50</v>
      </c>
      <c r="C42" s="13" t="s">
        <v>93</v>
      </c>
      <c r="D42" s="13" t="s">
        <v>94</v>
      </c>
      <c r="E42" s="46">
        <v>0.6</v>
      </c>
      <c r="F42" s="46">
        <f>IF(A42="","",Einstellungen!$B$5)</f>
        <v>85</v>
      </c>
      <c r="G42" s="47">
        <f t="shared" si="0"/>
        <v>51</v>
      </c>
      <c r="H42" s="14">
        <f t="shared" si="1"/>
        <v>27</v>
      </c>
      <c r="I42" s="13" t="str">
        <f t="shared" si="2"/>
        <v>Juni YYYY</v>
      </c>
      <c r="J42" s="13"/>
      <c r="K42" s="13"/>
      <c r="L42" s="59">
        <f>IF(A42="","",IF(Einstellungen!$B$15="","",MAX(0,MIN(E42,Einstellungen!$B$15-(SUMIFS($E$13:$E42,$H$13:$H42,H42)-E42)))))</f>
        <v>0.6</v>
      </c>
      <c r="M42" s="59">
        <f t="shared" si="3"/>
        <v>0</v>
      </c>
      <c r="N42" s="59">
        <f t="shared" si="4"/>
        <v>19.849999999999998</v>
      </c>
      <c r="O42" s="59">
        <f>IF(A42="","",IF(Einstellungen!$B$15="","",Einstellungen!$B$15-N42))</f>
        <v>0.15000000000000213</v>
      </c>
    </row>
    <row r="43" spans="1:15" ht="54" customHeight="1">
      <c r="A43" s="54">
        <v>46204</v>
      </c>
      <c r="B43" s="13" t="s">
        <v>50</v>
      </c>
      <c r="C43" s="13"/>
      <c r="D43" s="13" t="s">
        <v>95</v>
      </c>
      <c r="E43" s="46">
        <v>2.75</v>
      </c>
      <c r="F43" s="46">
        <f>IF(A43="","",Einstellungen!$B$5)</f>
        <v>85</v>
      </c>
      <c r="G43" s="47">
        <f t="shared" si="0"/>
        <v>233.75</v>
      </c>
      <c r="H43" s="14">
        <f t="shared" si="1"/>
        <v>27</v>
      </c>
      <c r="I43" s="13" t="str">
        <f t="shared" si="2"/>
        <v>Juli YYYY</v>
      </c>
      <c r="J43" s="13"/>
      <c r="K43" s="13"/>
      <c r="L43" s="59">
        <f>IF(A43="","",IF(Einstellungen!$B$15="","",MAX(0,MIN(E43,Einstellungen!$B$15-(SUMIFS($E$13:$E43,$H$13:$H43,H43)-E43)))))</f>
        <v>2.75</v>
      </c>
      <c r="M43" s="59">
        <f t="shared" si="3"/>
        <v>0</v>
      </c>
      <c r="N43" s="59">
        <f t="shared" si="4"/>
        <v>19.849999999999998</v>
      </c>
      <c r="O43" s="59">
        <f>IF(A43="","",IF(Einstellungen!$B$15="","",Einstellungen!$B$15-N43))</f>
        <v>0.15000000000000213</v>
      </c>
    </row>
    <row r="44" spans="1:15" ht="54" customHeight="1">
      <c r="A44" s="54">
        <v>46205</v>
      </c>
      <c r="B44" s="13" t="s">
        <v>50</v>
      </c>
      <c r="C44" s="13"/>
      <c r="D44" s="13" t="s">
        <v>96</v>
      </c>
      <c r="E44" s="46">
        <v>2.15</v>
      </c>
      <c r="F44" s="46">
        <f>IF(A44="","",Einstellungen!$B$5)</f>
        <v>85</v>
      </c>
      <c r="G44" s="47">
        <f t="shared" si="0"/>
        <v>182.75</v>
      </c>
      <c r="H44" s="14">
        <f t="shared" si="1"/>
        <v>27</v>
      </c>
      <c r="I44" s="13" t="str">
        <f t="shared" si="2"/>
        <v>Juli YYYY</v>
      </c>
      <c r="J44" s="13"/>
      <c r="K44" s="13"/>
      <c r="L44" s="59">
        <f>IF(A44="","",IF(Einstellungen!$B$15="","",MAX(0,MIN(E44,Einstellungen!$B$15-(SUMIFS($E$13:$E44,$H$13:$H44,H44)-E44)))))</f>
        <v>2.15</v>
      </c>
      <c r="M44" s="59">
        <f t="shared" si="3"/>
        <v>0</v>
      </c>
      <c r="N44" s="59">
        <f t="shared" si="4"/>
        <v>19.849999999999998</v>
      </c>
      <c r="O44" s="59">
        <f>IF(A44="","",IF(Einstellungen!$B$15="","",Einstellungen!$B$15-N44))</f>
        <v>0.15000000000000213</v>
      </c>
    </row>
    <row r="45" spans="1:15" ht="54" customHeight="1">
      <c r="A45" s="54">
        <v>46205</v>
      </c>
      <c r="B45" s="13" t="s">
        <v>50</v>
      </c>
      <c r="C45" s="13"/>
      <c r="D45" s="13" t="s">
        <v>97</v>
      </c>
      <c r="E45" s="46">
        <v>1.5</v>
      </c>
      <c r="F45" s="46">
        <f>IF(A45="","",Einstellungen!$B$5)</f>
        <v>85</v>
      </c>
      <c r="G45" s="47">
        <f t="shared" si="0"/>
        <v>127.5</v>
      </c>
      <c r="H45" s="14">
        <f t="shared" si="1"/>
        <v>27</v>
      </c>
      <c r="I45" s="13" t="str">
        <f t="shared" ref="I45:I65" si="5">IF(A45="","",TEXT(A45,"[$-de-DE]MMMM YYYY"))</f>
        <v>Juli YYYY</v>
      </c>
      <c r="J45" s="13"/>
      <c r="K45" s="13"/>
      <c r="L45" s="59">
        <f>IF(A45="","",IF(Einstellungen!$B$15="","",MAX(0,MIN(E45,Einstellungen!$B$15-(SUMIFS($E$13:$E45,$H$13:$H45,H45)-E45)))))</f>
        <v>1.5</v>
      </c>
      <c r="M45" s="59">
        <f t="shared" si="3"/>
        <v>0</v>
      </c>
      <c r="N45" s="59">
        <f t="shared" si="4"/>
        <v>19.849999999999998</v>
      </c>
      <c r="O45" s="59">
        <f>IF(A45="","",IF(Einstellungen!$B$15="","",Einstellungen!$B$15-N45))</f>
        <v>0.15000000000000213</v>
      </c>
    </row>
    <row r="46" spans="1:15" ht="54" customHeight="1">
      <c r="A46" s="54">
        <v>46206</v>
      </c>
      <c r="B46" s="13" t="s">
        <v>50</v>
      </c>
      <c r="C46" s="13"/>
      <c r="D46" s="13" t="s">
        <v>98</v>
      </c>
      <c r="E46" s="46">
        <v>0.25</v>
      </c>
      <c r="F46" s="46">
        <f>IF(A46="","",Einstellungen!$B$5)</f>
        <v>85</v>
      </c>
      <c r="G46" s="47">
        <f t="shared" si="0"/>
        <v>21.25</v>
      </c>
      <c r="H46" s="14">
        <f t="shared" si="1"/>
        <v>27</v>
      </c>
      <c r="I46" s="13" t="str">
        <f t="shared" si="5"/>
        <v>Juli YYYY</v>
      </c>
      <c r="J46" s="13"/>
      <c r="K46" s="13"/>
      <c r="L46" s="59">
        <f>IF(A46="","",IF(Einstellungen!$B$15="","",MAX(0,MIN(E46,Einstellungen!$B$15-(SUMIFS($E$13:$E46,$H$13:$H46,H46)-E46)))))</f>
        <v>0.25</v>
      </c>
      <c r="M46" s="59">
        <f t="shared" si="3"/>
        <v>0</v>
      </c>
      <c r="N46" s="59">
        <f t="shared" si="4"/>
        <v>19.849999999999998</v>
      </c>
      <c r="O46" s="59">
        <f>IF(A46="","",IF(Einstellungen!$B$15="","",Einstellungen!$B$15-N46))</f>
        <v>0.15000000000000213</v>
      </c>
    </row>
    <row r="47" spans="1:15" ht="54" customHeight="1">
      <c r="A47" s="54">
        <v>46206</v>
      </c>
      <c r="B47" s="13" t="s">
        <v>50</v>
      </c>
      <c r="C47" s="13"/>
      <c r="D47" s="13" t="s">
        <v>99</v>
      </c>
      <c r="E47" s="46">
        <v>1.1499999999999999</v>
      </c>
      <c r="F47" s="46">
        <f>IF(A47="","",Einstellungen!$B$5)</f>
        <v>85</v>
      </c>
      <c r="G47" s="47">
        <f t="shared" si="0"/>
        <v>97.749999999999986</v>
      </c>
      <c r="H47" s="14">
        <f t="shared" si="1"/>
        <v>27</v>
      </c>
      <c r="I47" s="13" t="str">
        <f t="shared" si="5"/>
        <v>Juli YYYY</v>
      </c>
      <c r="J47" s="13"/>
      <c r="K47" s="13"/>
      <c r="L47" s="59">
        <f>IF(A47="","",IF(Einstellungen!$B$15="","",MAX(0,MIN(E47,Einstellungen!$B$15-(SUMIFS($E$13:$E47,$H$13:$H47,H47)-E47)))))</f>
        <v>1.1499999999999999</v>
      </c>
      <c r="M47" s="59">
        <f t="shared" si="3"/>
        <v>0</v>
      </c>
      <c r="N47" s="59">
        <f t="shared" si="4"/>
        <v>19.849999999999998</v>
      </c>
      <c r="O47" s="59">
        <f>IF(A47="","",IF(Einstellungen!$B$15="","",Einstellungen!$B$15-N47))</f>
        <v>0.15000000000000213</v>
      </c>
    </row>
    <row r="48" spans="1:15" ht="54" customHeight="1">
      <c r="A48" s="54">
        <v>46206</v>
      </c>
      <c r="B48" s="13" t="s">
        <v>50</v>
      </c>
      <c r="C48" s="13"/>
      <c r="D48" s="13" t="s">
        <v>100</v>
      </c>
      <c r="E48" s="46">
        <v>1.3</v>
      </c>
      <c r="F48" s="46">
        <f>IF(A48="","",Einstellungen!$B$5)</f>
        <v>85</v>
      </c>
      <c r="G48" s="47">
        <f t="shared" si="0"/>
        <v>110.5</v>
      </c>
      <c r="H48" s="14">
        <f t="shared" si="1"/>
        <v>27</v>
      </c>
      <c r="I48" s="13" t="str">
        <f t="shared" si="5"/>
        <v>Juli YYYY</v>
      </c>
      <c r="J48" s="13"/>
      <c r="K48" s="13"/>
      <c r="L48" s="59">
        <f>IF(A48="","",IF(Einstellungen!$B$15="","",MAX(0,MIN(E48,Einstellungen!$B$15-(SUMIFS($E$13:$E48,$H$13:$H48,H48)-E48)))))</f>
        <v>1.3</v>
      </c>
      <c r="M48" s="59">
        <f t="shared" si="3"/>
        <v>0</v>
      </c>
      <c r="N48" s="59">
        <f t="shared" si="4"/>
        <v>19.849999999999998</v>
      </c>
      <c r="O48" s="59">
        <f>IF(A48="","",IF(Einstellungen!$B$15="","",Einstellungen!$B$15-N48))</f>
        <v>0.15000000000000213</v>
      </c>
    </row>
    <row r="49" spans="1:15" ht="54" customHeight="1">
      <c r="A49" s="54">
        <v>46206</v>
      </c>
      <c r="B49" s="13" t="s">
        <v>50</v>
      </c>
      <c r="C49" s="13"/>
      <c r="D49" s="13" t="s">
        <v>101</v>
      </c>
      <c r="E49" s="46">
        <v>1.4</v>
      </c>
      <c r="F49" s="46">
        <f>IF(A49="","",Einstellungen!$B$5)</f>
        <v>85</v>
      </c>
      <c r="G49" s="47">
        <f t="shared" si="0"/>
        <v>118.99999999999999</v>
      </c>
      <c r="H49" s="14">
        <f t="shared" si="1"/>
        <v>27</v>
      </c>
      <c r="I49" s="13" t="str">
        <f t="shared" si="5"/>
        <v>Juli YYYY</v>
      </c>
      <c r="J49" s="13"/>
      <c r="K49" s="13"/>
      <c r="L49" s="59">
        <f>IF(A49="","",IF(Einstellungen!$B$15="","",MAX(0,MIN(E49,Einstellungen!$B$15-(SUMIFS($E$13:$E49,$H$13:$H49,H49)-E49)))))</f>
        <v>1.4</v>
      </c>
      <c r="M49" s="59">
        <f t="shared" si="3"/>
        <v>0</v>
      </c>
      <c r="N49" s="59">
        <f t="shared" si="4"/>
        <v>19.849999999999998</v>
      </c>
      <c r="O49" s="59">
        <f>IF(A49="","",IF(Einstellungen!$B$15="","",Einstellungen!$B$15-N49))</f>
        <v>0.15000000000000213</v>
      </c>
    </row>
    <row r="50" spans="1:15" ht="54" customHeight="1">
      <c r="A50" s="54">
        <v>46209</v>
      </c>
      <c r="B50" s="13" t="s">
        <v>50</v>
      </c>
      <c r="C50" s="13"/>
      <c r="D50" s="61" t="s">
        <v>102</v>
      </c>
      <c r="E50" s="46">
        <v>1</v>
      </c>
      <c r="F50" s="46">
        <f>IF(A50="","",Einstellungen!$B$5)</f>
        <v>85</v>
      </c>
      <c r="G50" s="47">
        <f t="shared" si="0"/>
        <v>85</v>
      </c>
      <c r="H50" s="14">
        <f t="shared" si="1"/>
        <v>28</v>
      </c>
      <c r="I50" s="13" t="str">
        <f t="shared" si="5"/>
        <v>Juli YYYY</v>
      </c>
      <c r="J50" s="13"/>
      <c r="K50" s="13"/>
      <c r="L50" s="59">
        <f>IF(A50="","",IF(Einstellungen!$B$15="","",MAX(0,MIN(E50,Einstellungen!$B$15-(SUMIFS($E$13:$E50,$H$13:$H50,H50)-E50)))))</f>
        <v>1</v>
      </c>
      <c r="M50" s="59">
        <f t="shared" si="3"/>
        <v>0</v>
      </c>
      <c r="N50" s="59">
        <f t="shared" si="4"/>
        <v>21.549999999999997</v>
      </c>
      <c r="O50" s="59">
        <f>IF(A50="","",IF(Einstellungen!$B$15="","",Einstellungen!$B$15-N50))</f>
        <v>-1.5499999999999972</v>
      </c>
    </row>
    <row r="51" spans="1:15" ht="54" customHeight="1">
      <c r="A51" s="54">
        <v>46209</v>
      </c>
      <c r="B51" s="13" t="s">
        <v>50</v>
      </c>
      <c r="C51" s="13"/>
      <c r="D51" s="61" t="s">
        <v>103</v>
      </c>
      <c r="E51" s="46">
        <v>3.4</v>
      </c>
      <c r="F51" s="46">
        <f>IF(A51="","",Einstellungen!$B$5)</f>
        <v>85</v>
      </c>
      <c r="G51" s="47">
        <f t="shared" si="0"/>
        <v>289</v>
      </c>
      <c r="H51" s="14">
        <f t="shared" si="1"/>
        <v>28</v>
      </c>
      <c r="I51" s="13" t="str">
        <f t="shared" si="5"/>
        <v>Juli YYYY</v>
      </c>
      <c r="J51" s="13"/>
      <c r="K51" s="13"/>
      <c r="L51" s="59">
        <f>IF(A51="","",IF(Einstellungen!$B$15="","",MAX(0,MIN(E51,Einstellungen!$B$15-(SUMIFS($E$13:$E51,$H$13:$H51,H51)-E51)))))</f>
        <v>3.4</v>
      </c>
      <c r="M51" s="59">
        <f t="shared" si="3"/>
        <v>0</v>
      </c>
      <c r="N51" s="59">
        <f t="shared" si="4"/>
        <v>21.549999999999997</v>
      </c>
      <c r="O51" s="59">
        <f>IF(A51="","",IF(Einstellungen!$B$15="","",Einstellungen!$B$15-N51))</f>
        <v>-1.5499999999999972</v>
      </c>
    </row>
    <row r="52" spans="1:15" ht="54" customHeight="1">
      <c r="A52" s="54">
        <v>46210</v>
      </c>
      <c r="B52" s="13" t="s">
        <v>50</v>
      </c>
      <c r="C52" s="13"/>
      <c r="D52" s="61" t="s">
        <v>104</v>
      </c>
      <c r="E52" s="46">
        <v>1.45</v>
      </c>
      <c r="F52" s="46">
        <f>IF(A52="","",Einstellungen!$B$5)</f>
        <v>85</v>
      </c>
      <c r="G52" s="47">
        <f t="shared" si="0"/>
        <v>123.25</v>
      </c>
      <c r="H52" s="14">
        <f t="shared" si="1"/>
        <v>28</v>
      </c>
      <c r="I52" s="13" t="str">
        <f t="shared" si="5"/>
        <v>Juli YYYY</v>
      </c>
      <c r="J52" s="13"/>
      <c r="K52" s="13"/>
      <c r="L52" s="59">
        <f>IF(A52="","",IF(Einstellungen!$B$15="","",MAX(0,MIN(E52,Einstellungen!$B$15-(SUMIFS($E$13:$E52,$H$13:$H52,H52)-E52)))))</f>
        <v>1.45</v>
      </c>
      <c r="M52" s="59">
        <f t="shared" si="3"/>
        <v>0</v>
      </c>
      <c r="N52" s="59">
        <f t="shared" si="4"/>
        <v>21.549999999999997</v>
      </c>
      <c r="O52" s="59">
        <f>IF(A52="","",IF(Einstellungen!$B$15="","",Einstellungen!$B$15-N52))</f>
        <v>-1.5499999999999972</v>
      </c>
    </row>
    <row r="53" spans="1:15" ht="54" customHeight="1">
      <c r="A53" s="54">
        <v>46210</v>
      </c>
      <c r="B53" s="13" t="s">
        <v>50</v>
      </c>
      <c r="C53" s="13"/>
      <c r="D53" s="61" t="s">
        <v>105</v>
      </c>
      <c r="E53" s="46">
        <v>2.75</v>
      </c>
      <c r="F53" s="46">
        <f>IF(A53="","",Einstellungen!$B$5)</f>
        <v>85</v>
      </c>
      <c r="G53" s="47">
        <f t="shared" si="0"/>
        <v>233.75</v>
      </c>
      <c r="H53" s="14">
        <f t="shared" si="1"/>
        <v>28</v>
      </c>
      <c r="I53" s="13" t="str">
        <f t="shared" si="5"/>
        <v>Juli YYYY</v>
      </c>
      <c r="J53" s="13"/>
      <c r="K53" s="13"/>
      <c r="L53" s="59">
        <f>IF(A53="","",IF(Einstellungen!$B$15="","",MAX(0,MIN(E53,Einstellungen!$B$15-(SUMIFS($E$13:$E53,$H$13:$H53,H53)-E53)))))</f>
        <v>2.75</v>
      </c>
      <c r="M53" s="59">
        <f t="shared" si="3"/>
        <v>0</v>
      </c>
      <c r="N53" s="59">
        <f t="shared" si="4"/>
        <v>21.549999999999997</v>
      </c>
      <c r="O53" s="59">
        <f>IF(A53="","",IF(Einstellungen!$B$15="","",Einstellungen!$B$15-N53))</f>
        <v>-1.5499999999999972</v>
      </c>
    </row>
    <row r="54" spans="1:15" ht="54" customHeight="1">
      <c r="A54" s="54">
        <v>46211</v>
      </c>
      <c r="B54" s="13" t="s">
        <v>50</v>
      </c>
      <c r="C54" s="13"/>
      <c r="D54" s="61" t="s">
        <v>106</v>
      </c>
      <c r="E54" s="46">
        <v>1.1000000000000001</v>
      </c>
      <c r="F54" s="46">
        <f>IF(A54="","",Einstellungen!$B$5)</f>
        <v>85</v>
      </c>
      <c r="G54" s="47">
        <f t="shared" si="0"/>
        <v>93.500000000000014</v>
      </c>
      <c r="H54" s="14">
        <f t="shared" si="1"/>
        <v>28</v>
      </c>
      <c r="I54" s="13" t="str">
        <f t="shared" si="5"/>
        <v>Juli YYYY</v>
      </c>
      <c r="J54" s="13"/>
      <c r="K54" s="13"/>
      <c r="L54" s="59">
        <f>IF(A54="","",IF(Einstellungen!$B$15="","",MAX(0,MIN(E54,Einstellungen!$B$15-(SUMIFS($E$13:$E54,$H$13:$H54,H54)-E54)))))</f>
        <v>1.1000000000000001</v>
      </c>
      <c r="M54" s="59">
        <f t="shared" si="3"/>
        <v>0</v>
      </c>
      <c r="N54" s="59">
        <f t="shared" si="4"/>
        <v>21.549999999999997</v>
      </c>
      <c r="O54" s="59">
        <f>IF(A54="","",IF(Einstellungen!$B$15="","",Einstellungen!$B$15-N54))</f>
        <v>-1.5499999999999972</v>
      </c>
    </row>
    <row r="55" spans="1:15" ht="54" customHeight="1">
      <c r="A55" s="54">
        <v>46211</v>
      </c>
      <c r="B55" s="13" t="s">
        <v>50</v>
      </c>
      <c r="C55" s="13"/>
      <c r="D55" s="61" t="s">
        <v>107</v>
      </c>
      <c r="E55" s="46">
        <v>1.2</v>
      </c>
      <c r="F55" s="46">
        <f>IF(A55="","",Einstellungen!$B$5)</f>
        <v>85</v>
      </c>
      <c r="G55" s="47">
        <f t="shared" si="0"/>
        <v>102</v>
      </c>
      <c r="H55" s="14">
        <f t="shared" si="1"/>
        <v>28</v>
      </c>
      <c r="I55" s="13" t="str">
        <f t="shared" si="5"/>
        <v>Juli YYYY</v>
      </c>
      <c r="J55" s="13"/>
      <c r="K55" s="13"/>
      <c r="L55" s="59">
        <f>IF(A55="","",IF(Einstellungen!$B$15="","",MAX(0,MIN(E55,Einstellungen!$B$15-(SUMIFS($E$13:$E55,$H$13:$H55,H55)-E55)))))</f>
        <v>1.2</v>
      </c>
      <c r="M55" s="59">
        <f t="shared" si="3"/>
        <v>0</v>
      </c>
      <c r="N55" s="59">
        <f t="shared" si="4"/>
        <v>21.549999999999997</v>
      </c>
      <c r="O55" s="59">
        <f>IF(A55="","",IF(Einstellungen!$B$15="","",Einstellungen!$B$15-N55))</f>
        <v>-1.5499999999999972</v>
      </c>
    </row>
    <row r="56" spans="1:15" ht="54" customHeight="1">
      <c r="A56" s="54">
        <v>46211</v>
      </c>
      <c r="B56" s="13" t="s">
        <v>50</v>
      </c>
      <c r="C56" s="13"/>
      <c r="D56" s="61" t="s">
        <v>108</v>
      </c>
      <c r="E56" s="46">
        <v>0.7</v>
      </c>
      <c r="F56" s="46">
        <f>IF(A56="","",Einstellungen!$B$5)</f>
        <v>85</v>
      </c>
      <c r="G56" s="47">
        <f t="shared" si="0"/>
        <v>59.499999999999993</v>
      </c>
      <c r="H56" s="14">
        <f t="shared" si="1"/>
        <v>28</v>
      </c>
      <c r="I56" s="13" t="str">
        <f t="shared" si="5"/>
        <v>Juli YYYY</v>
      </c>
      <c r="J56" s="13"/>
      <c r="K56" s="13"/>
      <c r="L56" s="59">
        <f>IF(A56="","",IF(Einstellungen!$B$15="","",MAX(0,MIN(E56,Einstellungen!$B$15-(SUMIFS($E$13:$E56,$H$13:$H56,H56)-E56)))))</f>
        <v>0.7</v>
      </c>
      <c r="M56" s="59">
        <f t="shared" si="3"/>
        <v>0</v>
      </c>
      <c r="N56" s="59">
        <f t="shared" si="4"/>
        <v>21.549999999999997</v>
      </c>
      <c r="O56" s="59">
        <f>IF(A56="","",IF(Einstellungen!$B$15="","",Einstellungen!$B$15-N56))</f>
        <v>-1.5499999999999972</v>
      </c>
    </row>
    <row r="57" spans="1:15" ht="54" customHeight="1">
      <c r="A57" s="54">
        <v>46211</v>
      </c>
      <c r="B57" s="13" t="s">
        <v>50</v>
      </c>
      <c r="C57" s="13"/>
      <c r="D57" s="61" t="s">
        <v>109</v>
      </c>
      <c r="E57" s="46">
        <v>1.5</v>
      </c>
      <c r="F57" s="46">
        <f>IF(A57="","",Einstellungen!$B$5)</f>
        <v>85</v>
      </c>
      <c r="G57" s="47">
        <f t="shared" si="0"/>
        <v>127.5</v>
      </c>
      <c r="H57" s="14">
        <f t="shared" si="1"/>
        <v>28</v>
      </c>
      <c r="I57" s="13" t="str">
        <f t="shared" si="5"/>
        <v>Juli YYYY</v>
      </c>
      <c r="J57" s="13"/>
      <c r="K57" s="13"/>
      <c r="L57" s="59">
        <f>IF(A57="","",IF(Einstellungen!$B$15="","",MAX(0,MIN(E57,Einstellungen!$B$15-(SUMIFS($E$13:$E57,$H$13:$H57,H57)-E57)))))</f>
        <v>1.5</v>
      </c>
      <c r="M57" s="59">
        <f t="shared" si="3"/>
        <v>0</v>
      </c>
      <c r="N57" s="59">
        <f t="shared" si="4"/>
        <v>21.549999999999997</v>
      </c>
      <c r="O57" s="59">
        <f>IF(A57="","",IF(Einstellungen!$B$15="","",Einstellungen!$B$15-N57))</f>
        <v>-1.5499999999999972</v>
      </c>
    </row>
    <row r="58" spans="1:15" ht="54" customHeight="1">
      <c r="A58" s="54">
        <v>46211</v>
      </c>
      <c r="B58" s="13" t="s">
        <v>50</v>
      </c>
      <c r="C58" s="13"/>
      <c r="D58" s="61" t="s">
        <v>110</v>
      </c>
      <c r="E58" s="46">
        <v>1.25</v>
      </c>
      <c r="F58" s="46">
        <f>IF(A58="","",Einstellungen!$B$5)</f>
        <v>85</v>
      </c>
      <c r="G58" s="47">
        <f t="shared" si="0"/>
        <v>106.25</v>
      </c>
      <c r="H58" s="14">
        <f t="shared" si="1"/>
        <v>28</v>
      </c>
      <c r="I58" s="13" t="str">
        <f t="shared" si="5"/>
        <v>Juli YYYY</v>
      </c>
      <c r="J58" s="13"/>
      <c r="K58" s="13"/>
      <c r="L58" s="59">
        <f>IF(A58="","",IF(Einstellungen!$B$15="","",MAX(0,MIN(E58,Einstellungen!$B$15-(SUMIFS($E$13:$E58,$H$13:$H58,H58)-E58)))))</f>
        <v>1.25</v>
      </c>
      <c r="M58" s="59">
        <f t="shared" si="3"/>
        <v>0</v>
      </c>
      <c r="N58" s="59">
        <f t="shared" si="4"/>
        <v>21.549999999999997</v>
      </c>
      <c r="O58" s="59">
        <f>IF(A58="","",IF(Einstellungen!$B$15="","",Einstellungen!$B$15-N58))</f>
        <v>-1.5499999999999972</v>
      </c>
    </row>
    <row r="59" spans="1:15" ht="54" customHeight="1">
      <c r="A59" s="54">
        <v>46212</v>
      </c>
      <c r="B59" s="13" t="s">
        <v>50</v>
      </c>
      <c r="C59" s="13"/>
      <c r="D59" s="61" t="s">
        <v>111</v>
      </c>
      <c r="E59" s="46">
        <v>0.75</v>
      </c>
      <c r="F59" s="46">
        <f>IF(A59="","",Einstellungen!$B$5)</f>
        <v>85</v>
      </c>
      <c r="G59" s="47">
        <f t="shared" si="0"/>
        <v>63.75</v>
      </c>
      <c r="H59" s="14">
        <f t="shared" si="1"/>
        <v>28</v>
      </c>
      <c r="I59" s="13" t="str">
        <f t="shared" si="5"/>
        <v>Juli YYYY</v>
      </c>
      <c r="J59" s="13"/>
      <c r="K59" s="13"/>
      <c r="L59" s="59">
        <f>IF(A59="","",IF(Einstellungen!$B$15="","",MAX(0,MIN(E59,Einstellungen!$B$15-(SUMIFS($E$13:$E59,$H$13:$H59,H59)-E59)))))</f>
        <v>0.75</v>
      </c>
      <c r="M59" s="59">
        <f t="shared" si="3"/>
        <v>0</v>
      </c>
      <c r="N59" s="59">
        <f t="shared" si="4"/>
        <v>21.549999999999997</v>
      </c>
      <c r="O59" s="59">
        <f>IF(A59="","",IF(Einstellungen!$B$15="","",Einstellungen!$B$15-N59))</f>
        <v>-1.5499999999999972</v>
      </c>
    </row>
    <row r="60" spans="1:15" ht="54" customHeight="1">
      <c r="A60" s="54">
        <v>46212</v>
      </c>
      <c r="B60" s="13" t="s">
        <v>50</v>
      </c>
      <c r="C60" s="13"/>
      <c r="D60" s="61" t="s">
        <v>112</v>
      </c>
      <c r="E60" s="46">
        <v>0.45</v>
      </c>
      <c r="F60" s="46">
        <f>IF(A60="","",Einstellungen!$B$5)</f>
        <v>85</v>
      </c>
      <c r="G60" s="47">
        <f t="shared" si="0"/>
        <v>38.25</v>
      </c>
      <c r="H60" s="14">
        <f t="shared" si="1"/>
        <v>28</v>
      </c>
      <c r="I60" s="13" t="str">
        <f t="shared" si="5"/>
        <v>Juli YYYY</v>
      </c>
      <c r="J60" s="13"/>
      <c r="K60" s="13"/>
      <c r="L60" s="59">
        <f>IF(A60="","",IF(Einstellungen!$B$15="","",MAX(0,MIN(E60,Einstellungen!$B$15-(SUMIFS($E$13:$E60,$H$13:$H60,H60)-E60)))))</f>
        <v>0.45</v>
      </c>
      <c r="M60" s="59">
        <f t="shared" si="3"/>
        <v>0</v>
      </c>
      <c r="N60" s="59">
        <f t="shared" si="4"/>
        <v>21.549999999999997</v>
      </c>
      <c r="O60" s="59">
        <f>IF(A60="","",IF(Einstellungen!$B$15="","",Einstellungen!$B$15-N60))</f>
        <v>-1.5499999999999972</v>
      </c>
    </row>
    <row r="61" spans="1:15" ht="54" customHeight="1">
      <c r="A61" s="54">
        <v>46212</v>
      </c>
      <c r="B61" s="13" t="s">
        <v>50</v>
      </c>
      <c r="C61" s="13"/>
      <c r="D61" s="61" t="s">
        <v>113</v>
      </c>
      <c r="E61" s="46">
        <v>2.25</v>
      </c>
      <c r="F61" s="46">
        <f>IF(A61="","",Einstellungen!$B$5)</f>
        <v>85</v>
      </c>
      <c r="G61" s="47">
        <f t="shared" si="0"/>
        <v>191.25</v>
      </c>
      <c r="H61" s="14">
        <f t="shared" si="1"/>
        <v>28</v>
      </c>
      <c r="I61" s="13" t="str">
        <f t="shared" si="5"/>
        <v>Juli YYYY</v>
      </c>
      <c r="J61" s="13"/>
      <c r="K61" s="13"/>
      <c r="L61" s="59">
        <f>IF(A61="","",IF(Einstellungen!$B$15="","",MAX(0,MIN(E61,Einstellungen!$B$15-(SUMIFS($E$13:$E61,$H$13:$H61,H61)-E61)))))</f>
        <v>2.25</v>
      </c>
      <c r="M61" s="59">
        <f t="shared" si="3"/>
        <v>0</v>
      </c>
      <c r="N61" s="59">
        <f t="shared" si="4"/>
        <v>21.549999999999997</v>
      </c>
      <c r="O61" s="59">
        <f>IF(A61="","",IF(Einstellungen!$B$15="","",Einstellungen!$B$15-N61))</f>
        <v>-1.5499999999999972</v>
      </c>
    </row>
    <row r="62" spans="1:15" ht="54" customHeight="1">
      <c r="A62" s="54">
        <v>46212</v>
      </c>
      <c r="B62" s="13" t="s">
        <v>50</v>
      </c>
      <c r="C62" s="13"/>
      <c r="D62" s="61" t="s">
        <v>114</v>
      </c>
      <c r="E62" s="46">
        <v>1</v>
      </c>
      <c r="F62" s="46">
        <f>IF(A62="","",Einstellungen!$B$5)</f>
        <v>85</v>
      </c>
      <c r="G62" s="47">
        <f t="shared" si="0"/>
        <v>85</v>
      </c>
      <c r="H62" s="14">
        <f t="shared" si="1"/>
        <v>28</v>
      </c>
      <c r="I62" s="13" t="str">
        <f t="shared" si="5"/>
        <v>Juli YYYY</v>
      </c>
      <c r="J62" s="13"/>
      <c r="K62" s="13"/>
      <c r="L62" s="59">
        <f>IF(A62="","",IF(Einstellungen!$B$15="","",MAX(0,MIN(E62,Einstellungen!$B$15-(SUMIFS($E$13:$E62,$H$13:$H62,H62)-E62)))))</f>
        <v>1</v>
      </c>
      <c r="M62" s="59">
        <f t="shared" si="3"/>
        <v>0</v>
      </c>
      <c r="N62" s="59">
        <f t="shared" si="4"/>
        <v>21.549999999999997</v>
      </c>
      <c r="O62" s="59">
        <f>IF(A62="","",IF(Einstellungen!$B$15="","",Einstellungen!$B$15-N62))</f>
        <v>-1.5499999999999972</v>
      </c>
    </row>
    <row r="63" spans="1:15" ht="54" customHeight="1">
      <c r="A63" s="54">
        <v>46212</v>
      </c>
      <c r="B63" s="13" t="s">
        <v>50</v>
      </c>
      <c r="C63" s="13"/>
      <c r="D63" s="61" t="s">
        <v>115</v>
      </c>
      <c r="E63" s="46">
        <v>0.5</v>
      </c>
      <c r="F63" s="46">
        <f>IF(A63="","",Einstellungen!$B$5)</f>
        <v>85</v>
      </c>
      <c r="G63" s="47">
        <f t="shared" si="0"/>
        <v>42.5</v>
      </c>
      <c r="H63" s="14">
        <f t="shared" si="1"/>
        <v>28</v>
      </c>
      <c r="I63" s="13" t="str">
        <f t="shared" si="5"/>
        <v>Juli YYYY</v>
      </c>
      <c r="J63" s="13"/>
      <c r="K63" s="13"/>
      <c r="L63" s="59">
        <f>IF(A63="","",IF(Einstellungen!$B$15="","",MAX(0,MIN(E63,Einstellungen!$B$15-(SUMIFS($E$13:$E63,$H$13:$H63,H63)-E63)))))</f>
        <v>0.5</v>
      </c>
      <c r="M63" s="59">
        <f t="shared" si="3"/>
        <v>0</v>
      </c>
      <c r="N63" s="59">
        <f t="shared" si="4"/>
        <v>21.549999999999997</v>
      </c>
      <c r="O63" s="59">
        <f>IF(A63="","",IF(Einstellungen!$B$15="","",Einstellungen!$B$15-N63))</f>
        <v>-1.5499999999999972</v>
      </c>
    </row>
    <row r="64" spans="1:15" s="57" customFormat="1" ht="54" customHeight="1">
      <c r="A64" s="54">
        <v>46213</v>
      </c>
      <c r="B64" s="13" t="s">
        <v>50</v>
      </c>
      <c r="C64" s="13"/>
      <c r="D64" s="61" t="s">
        <v>116</v>
      </c>
      <c r="E64" s="46">
        <v>2.25</v>
      </c>
      <c r="F64" s="46">
        <f>IF(A64="","",Einstellungen!$B$5)</f>
        <v>85</v>
      </c>
      <c r="G64" s="47">
        <f t="shared" si="0"/>
        <v>59.500000000000242</v>
      </c>
      <c r="H64" s="14">
        <f t="shared" si="1"/>
        <v>28</v>
      </c>
      <c r="I64" s="13" t="str">
        <f t="shared" si="5"/>
        <v>Juli YYYY</v>
      </c>
      <c r="J64" s="13"/>
      <c r="K64" s="13"/>
      <c r="L64" s="59">
        <f>IF(A64="","",IF(Einstellungen!$B$15="","",MAX(0,MIN(E64,Einstellungen!$B$15-(SUMIFS($E$13:$E64,$H$13:$H64,H64)-E64)))))</f>
        <v>0.70000000000000284</v>
      </c>
      <c r="M64" s="59">
        <f t="shared" si="3"/>
        <v>1.5499999999999972</v>
      </c>
      <c r="N64" s="59">
        <f t="shared" si="4"/>
        <v>21.549999999999997</v>
      </c>
      <c r="O64" s="59">
        <f>IF(A64="","",IF(Einstellungen!$B$15="","",Einstellungen!$B$15-N64))</f>
        <v>-1.5499999999999972</v>
      </c>
    </row>
    <row r="65" spans="1:15" s="57" customFormat="1" ht="54" customHeight="1">
      <c r="A65" s="54">
        <v>46216</v>
      </c>
      <c r="B65" s="13" t="s">
        <v>50</v>
      </c>
      <c r="C65" s="13"/>
      <c r="D65" s="13" t="s">
        <v>117</v>
      </c>
      <c r="E65" s="46">
        <v>1.25</v>
      </c>
      <c r="F65" s="46">
        <f>IF(A65="","",Einstellungen!$B$5)</f>
        <v>85</v>
      </c>
      <c r="G65" s="47">
        <f t="shared" si="0"/>
        <v>106.25</v>
      </c>
      <c r="H65" s="14">
        <f t="shared" si="1"/>
        <v>29</v>
      </c>
      <c r="I65" s="13" t="str">
        <f t="shared" si="5"/>
        <v>Juli YYYY</v>
      </c>
      <c r="J65" s="13"/>
      <c r="K65" s="13"/>
      <c r="L65" s="59">
        <f>IF(A65="","",IF(Einstellungen!$B$15="","",MAX(0,MIN(E65,Einstellungen!$B$15-(SUMIFS($E$13:$E65,$H$13:$H65,H65)-E65)))))</f>
        <v>1.25</v>
      </c>
      <c r="M65" s="59">
        <f t="shared" si="3"/>
        <v>0</v>
      </c>
      <c r="N65" s="59">
        <f t="shared" si="4"/>
        <v>23</v>
      </c>
      <c r="O65" s="59">
        <f>IF(A65="","",IF(Einstellungen!$B$15="","",Einstellungen!$B$15-N65))</f>
        <v>-3</v>
      </c>
    </row>
    <row r="66" spans="1:15" s="57" customFormat="1" ht="54" customHeight="1">
      <c r="A66" s="54">
        <v>46216</v>
      </c>
      <c r="B66" s="13" t="s">
        <v>50</v>
      </c>
      <c r="C66" s="13"/>
      <c r="D66" s="13" t="s">
        <v>249</v>
      </c>
      <c r="E66" s="46">
        <v>1.5</v>
      </c>
      <c r="F66" s="46">
        <f>IF(A66="","",Einstellungen!$B$5)</f>
        <v>85</v>
      </c>
      <c r="G66" s="47">
        <f t="shared" si="0"/>
        <v>127.5</v>
      </c>
      <c r="H66" s="14">
        <f t="shared" si="1"/>
        <v>29</v>
      </c>
      <c r="I66" s="13"/>
      <c r="J66" s="13"/>
      <c r="K66" s="13"/>
      <c r="L66" s="59">
        <f>IF(A66="","",IF(Einstellungen!$B$15="","",MAX(0,MIN(E66,Einstellungen!$B$15-(SUMIFS($E$13:$E66,$H$13:$H66,H66)-E66)))))</f>
        <v>1.5</v>
      </c>
      <c r="M66" s="59">
        <f t="shared" si="3"/>
        <v>0</v>
      </c>
      <c r="N66" s="59">
        <f t="shared" si="4"/>
        <v>23</v>
      </c>
      <c r="O66" s="59">
        <f>IF(A66="","",IF(Einstellungen!$B$15="","",Einstellungen!$B$15-N66))</f>
        <v>-3</v>
      </c>
    </row>
    <row r="67" spans="1:15" ht="54" customHeight="1">
      <c r="A67" s="54">
        <v>46216</v>
      </c>
      <c r="B67" s="13" t="s">
        <v>50</v>
      </c>
      <c r="C67" s="13"/>
      <c r="D67" s="13" t="s">
        <v>251</v>
      </c>
      <c r="E67" s="46">
        <v>0.5</v>
      </c>
      <c r="F67" s="46">
        <f>IF(A67="","",Einstellungen!$B$5)</f>
        <v>85</v>
      </c>
      <c r="G67" s="47">
        <f t="shared" si="0"/>
        <v>42.5</v>
      </c>
      <c r="H67" s="14">
        <f t="shared" si="1"/>
        <v>29</v>
      </c>
      <c r="I67" s="13" t="str">
        <f t="shared" ref="I67:I98" si="6">IF(A67="","",TEXT(A67,"[$-de-DE]MMMM YYYY"))</f>
        <v>Juli YYYY</v>
      </c>
      <c r="J67" s="13"/>
      <c r="K67" s="13"/>
      <c r="L67" s="59">
        <f>IF(A67="","",IF(Einstellungen!$B$15="","",MAX(0,MIN(E67,Einstellungen!$B$15-(SUMIFS($E$13:$E67,$H$13:$H67,H67)-E67)))))</f>
        <v>0.5</v>
      </c>
      <c r="M67" s="59">
        <f t="shared" si="3"/>
        <v>0</v>
      </c>
      <c r="N67" s="59">
        <f t="shared" si="4"/>
        <v>23</v>
      </c>
      <c r="O67" s="59">
        <f>IF(A67="","",IF(Einstellungen!$B$15="","",Einstellungen!$B$15-N67))</f>
        <v>-3</v>
      </c>
    </row>
    <row r="68" spans="1:15" ht="54" customHeight="1">
      <c r="A68" s="54">
        <v>46216</v>
      </c>
      <c r="B68" s="13" t="s">
        <v>50</v>
      </c>
      <c r="C68" s="13"/>
      <c r="D68" s="13" t="s">
        <v>250</v>
      </c>
      <c r="E68" s="46">
        <v>0.75</v>
      </c>
      <c r="F68" s="46">
        <f>IF(A68="","",Einstellungen!$B$5)</f>
        <v>85</v>
      </c>
      <c r="G68" s="47">
        <f t="shared" si="0"/>
        <v>63.75</v>
      </c>
      <c r="H68" s="14">
        <f t="shared" si="1"/>
        <v>29</v>
      </c>
      <c r="I68" s="13" t="str">
        <f t="shared" si="6"/>
        <v>Juli YYYY</v>
      </c>
      <c r="J68" s="13"/>
      <c r="K68" s="13"/>
      <c r="L68" s="59">
        <f>IF(A68="","",IF(Einstellungen!$B$15="","",MAX(0,MIN(E68,Einstellungen!$B$15-(SUMIFS($E$13:$E68,$H$13:$H68,H68)-E68)))))</f>
        <v>0.75</v>
      </c>
      <c r="M68" s="59">
        <f t="shared" si="3"/>
        <v>0</v>
      </c>
      <c r="N68" s="59">
        <f t="shared" si="4"/>
        <v>23</v>
      </c>
      <c r="O68" s="59">
        <f>IF(A68="","",IF(Einstellungen!$B$15="","",Einstellungen!$B$15-N68))</f>
        <v>-3</v>
      </c>
    </row>
    <row r="69" spans="1:15" ht="54" customHeight="1">
      <c r="A69" s="54">
        <v>46216</v>
      </c>
      <c r="B69" s="13" t="s">
        <v>50</v>
      </c>
      <c r="C69" s="13"/>
      <c r="D69" s="13" t="s">
        <v>252</v>
      </c>
      <c r="E69" s="46">
        <v>0.75</v>
      </c>
      <c r="F69" s="46">
        <f>IF(A69="","",Einstellungen!$B$5)</f>
        <v>85</v>
      </c>
      <c r="G69" s="47">
        <f t="shared" si="0"/>
        <v>63.75</v>
      </c>
      <c r="H69" s="14">
        <f t="shared" si="1"/>
        <v>29</v>
      </c>
      <c r="I69" s="13" t="str">
        <f t="shared" si="6"/>
        <v>Juli YYYY</v>
      </c>
      <c r="J69" s="13"/>
      <c r="K69" s="13"/>
      <c r="L69" s="59">
        <f>IF(A69="","",IF(Einstellungen!$B$15="","",MAX(0,MIN(E69,Einstellungen!$B$15-(SUMIFS($E$13:$E69,$H$13:$H69,H69)-E69)))))</f>
        <v>0.75</v>
      </c>
      <c r="M69" s="59">
        <f t="shared" si="3"/>
        <v>0</v>
      </c>
      <c r="N69" s="59">
        <f t="shared" si="4"/>
        <v>23</v>
      </c>
      <c r="O69" s="59">
        <f>IF(A69="","",IF(Einstellungen!$B$15="","",Einstellungen!$B$15-N69))</f>
        <v>-3</v>
      </c>
    </row>
    <row r="70" spans="1:15" ht="54" customHeight="1">
      <c r="A70" s="54">
        <v>46216</v>
      </c>
      <c r="B70" s="13" t="s">
        <v>50</v>
      </c>
      <c r="C70" s="13"/>
      <c r="D70" s="13" t="s">
        <v>253</v>
      </c>
      <c r="E70" s="46">
        <v>1.3</v>
      </c>
      <c r="F70" s="46">
        <f>IF(A70="","",Einstellungen!$B$5)</f>
        <v>85</v>
      </c>
      <c r="G70" s="47">
        <f t="shared" si="0"/>
        <v>110.5</v>
      </c>
      <c r="H70" s="14">
        <f t="shared" si="1"/>
        <v>29</v>
      </c>
      <c r="I70" s="13" t="str">
        <f t="shared" si="6"/>
        <v>Juli YYYY</v>
      </c>
      <c r="J70" s="13"/>
      <c r="K70" s="13"/>
      <c r="L70" s="59">
        <f>IF(A70="","",IF(Einstellungen!$B$15="","",MAX(0,MIN(E70,Einstellungen!$B$15-(SUMIFS($E$13:$E70,$H$13:$H70,H70)-E70)))))</f>
        <v>1.3</v>
      </c>
      <c r="M70" s="59">
        <f t="shared" si="3"/>
        <v>0</v>
      </c>
      <c r="N70" s="59">
        <f t="shared" si="4"/>
        <v>23</v>
      </c>
      <c r="O70" s="59">
        <f>IF(A70="","",IF(Einstellungen!$B$15="","",Einstellungen!$B$15-N70))</f>
        <v>-3</v>
      </c>
    </row>
    <row r="71" spans="1:15" ht="54" customHeight="1">
      <c r="A71" s="54">
        <v>46216</v>
      </c>
      <c r="B71" s="13" t="s">
        <v>50</v>
      </c>
      <c r="C71" s="13"/>
      <c r="D71" s="13" t="s">
        <v>255</v>
      </c>
      <c r="E71" s="46">
        <v>1.25</v>
      </c>
      <c r="F71" s="46">
        <f>IF(A71="","",Einstellungen!$B$5)</f>
        <v>85</v>
      </c>
      <c r="G71" s="47">
        <f t="shared" si="0"/>
        <v>106.25</v>
      </c>
      <c r="H71" s="14">
        <f t="shared" si="1"/>
        <v>29</v>
      </c>
      <c r="I71" s="13" t="str">
        <f t="shared" si="6"/>
        <v>Juli YYYY</v>
      </c>
      <c r="J71" s="13"/>
      <c r="K71" s="13"/>
      <c r="L71" s="59">
        <f>IF(A71="","",IF(Einstellungen!$B$15="","",MAX(0,MIN(E71,Einstellungen!$B$15-(SUMIFS($E$13:$E71,$H$13:$H71,H71)-E71)))))</f>
        <v>1.25</v>
      </c>
      <c r="M71" s="59">
        <f t="shared" si="3"/>
        <v>0</v>
      </c>
      <c r="N71" s="59">
        <f t="shared" si="4"/>
        <v>23</v>
      </c>
      <c r="O71" s="59">
        <f>IF(A71="","",IF(Einstellungen!$B$15="","",Einstellungen!$B$15-N71))</f>
        <v>-3</v>
      </c>
    </row>
    <row r="72" spans="1:15" ht="54" customHeight="1">
      <c r="A72" s="54">
        <v>46216</v>
      </c>
      <c r="B72" s="13" t="s">
        <v>50</v>
      </c>
      <c r="C72" s="13"/>
      <c r="D72" s="13" t="s">
        <v>254</v>
      </c>
      <c r="E72" s="46">
        <v>1.75</v>
      </c>
      <c r="F72" s="46">
        <f>IF(A72="","",Einstellungen!$B$5)</f>
        <v>85</v>
      </c>
      <c r="G72" s="47">
        <f t="shared" si="0"/>
        <v>148.75</v>
      </c>
      <c r="H72" s="14">
        <f t="shared" si="1"/>
        <v>29</v>
      </c>
      <c r="I72" s="13" t="str">
        <f t="shared" si="6"/>
        <v>Juli YYYY</v>
      </c>
      <c r="J72" s="13"/>
      <c r="K72" s="13"/>
      <c r="L72" s="59">
        <f>IF(A72="","",IF(Einstellungen!$B$15="","",MAX(0,MIN(E72,Einstellungen!$B$15-(SUMIFS($E$13:$E72,$H$13:$H72,H72)-E72)))))</f>
        <v>1.75</v>
      </c>
      <c r="M72" s="59">
        <f t="shared" si="3"/>
        <v>0</v>
      </c>
      <c r="N72" s="59">
        <f t="shared" si="4"/>
        <v>23</v>
      </c>
      <c r="O72" s="59">
        <f>IF(A72="","",IF(Einstellungen!$B$15="","",Einstellungen!$B$15-N72))</f>
        <v>-3</v>
      </c>
    </row>
    <row r="73" spans="1:15" ht="54" customHeight="1">
      <c r="A73" s="54">
        <v>46217</v>
      </c>
      <c r="B73" s="13" t="s">
        <v>50</v>
      </c>
      <c r="C73" s="13"/>
      <c r="D73" s="13" t="s">
        <v>257</v>
      </c>
      <c r="E73" s="46">
        <v>0.75</v>
      </c>
      <c r="F73" s="46">
        <f>IF(A73="","",Einstellungen!$B$5)</f>
        <v>85</v>
      </c>
      <c r="G73" s="47">
        <f t="shared" si="0"/>
        <v>63.75</v>
      </c>
      <c r="H73" s="14">
        <f t="shared" si="1"/>
        <v>29</v>
      </c>
      <c r="I73" s="13" t="str">
        <f t="shared" si="6"/>
        <v>Juli YYYY</v>
      </c>
      <c r="J73" s="13"/>
      <c r="K73" s="13"/>
      <c r="L73" s="59">
        <f>IF(A73="","",IF(Einstellungen!$B$15="","",MAX(0,MIN(E73,Einstellungen!$B$15-(SUMIFS($E$13:$E73,$H$13:$H73,H73)-E73)))))</f>
        <v>0.75</v>
      </c>
      <c r="M73" s="59">
        <f t="shared" si="3"/>
        <v>0</v>
      </c>
      <c r="N73" s="59">
        <f t="shared" si="4"/>
        <v>23</v>
      </c>
      <c r="O73" s="59">
        <f>IF(A73="","",IF(Einstellungen!$B$15="","",Einstellungen!$B$15-N73))</f>
        <v>-3</v>
      </c>
    </row>
    <row r="74" spans="1:15" ht="54" customHeight="1">
      <c r="A74" s="54">
        <v>46217</v>
      </c>
      <c r="B74" s="13" t="s">
        <v>50</v>
      </c>
      <c r="C74" s="13"/>
      <c r="D74" s="13" t="s">
        <v>258</v>
      </c>
      <c r="E74" s="46">
        <v>0.75</v>
      </c>
      <c r="F74" s="46">
        <f>IF(A74="","",Einstellungen!$B$5)</f>
        <v>85</v>
      </c>
      <c r="G74" s="47">
        <f t="shared" si="0"/>
        <v>63.75</v>
      </c>
      <c r="H74" s="14">
        <f t="shared" si="1"/>
        <v>29</v>
      </c>
      <c r="I74" s="13" t="str">
        <f t="shared" si="6"/>
        <v>Juli YYYY</v>
      </c>
      <c r="J74" s="13"/>
      <c r="K74" s="13"/>
      <c r="L74" s="59">
        <f>IF(A74="","",IF(Einstellungen!$B$15="","",MAX(0,MIN(E74,Einstellungen!$B$15-(SUMIFS($E$13:$E74,$H$13:$H74,H74)-E74)))))</f>
        <v>0.75</v>
      </c>
      <c r="M74" s="59">
        <f t="shared" si="3"/>
        <v>0</v>
      </c>
      <c r="N74" s="59">
        <f t="shared" si="4"/>
        <v>23</v>
      </c>
      <c r="O74" s="59">
        <f>IF(A74="","",IF(Einstellungen!$B$15="","",Einstellungen!$B$15-N74))</f>
        <v>-3</v>
      </c>
    </row>
    <row r="75" spans="1:15" ht="54" customHeight="1">
      <c r="A75" s="54">
        <v>46217</v>
      </c>
      <c r="B75" s="13" t="s">
        <v>50</v>
      </c>
      <c r="C75" s="13"/>
      <c r="D75" s="13" t="s">
        <v>256</v>
      </c>
      <c r="E75" s="46">
        <v>1.2</v>
      </c>
      <c r="F75" s="46">
        <f>IF(A75="","",Einstellungen!$B$5)</f>
        <v>85</v>
      </c>
      <c r="G75" s="47">
        <f t="shared" si="0"/>
        <v>102</v>
      </c>
      <c r="H75" s="14">
        <f t="shared" si="1"/>
        <v>29</v>
      </c>
      <c r="I75" s="13" t="str">
        <f t="shared" si="6"/>
        <v>Juli YYYY</v>
      </c>
      <c r="J75" s="13"/>
      <c r="K75" s="13"/>
      <c r="L75" s="59">
        <f>IF(A75="","",IF(Einstellungen!$B$15="","",MAX(0,MIN(E75,Einstellungen!$B$15-(SUMIFS($E$13:$E75,$H$13:$H75,H75)-E75)))))</f>
        <v>1.2</v>
      </c>
      <c r="M75" s="59">
        <f t="shared" si="3"/>
        <v>0</v>
      </c>
      <c r="N75" s="59">
        <f t="shared" si="4"/>
        <v>23</v>
      </c>
      <c r="O75" s="59">
        <f>IF(A75="","",IF(Einstellungen!$B$15="","",Einstellungen!$B$15-N75))</f>
        <v>-3</v>
      </c>
    </row>
    <row r="76" spans="1:15" ht="54" customHeight="1">
      <c r="A76" s="54">
        <v>46217</v>
      </c>
      <c r="B76" s="13" t="s">
        <v>50</v>
      </c>
      <c r="C76" s="13"/>
      <c r="D76" s="13" t="s">
        <v>260</v>
      </c>
      <c r="E76" s="46">
        <v>1</v>
      </c>
      <c r="F76" s="46">
        <f>IF(A76="","",Einstellungen!$B$5)</f>
        <v>85</v>
      </c>
      <c r="G76" s="47">
        <f t="shared" si="0"/>
        <v>85</v>
      </c>
      <c r="H76" s="14">
        <f t="shared" si="1"/>
        <v>29</v>
      </c>
      <c r="I76" s="13" t="str">
        <f t="shared" si="6"/>
        <v>Juli YYYY</v>
      </c>
      <c r="J76" s="13"/>
      <c r="K76" s="13"/>
      <c r="L76" s="59">
        <f>IF(A76="","",IF(Einstellungen!$B$15="","",MAX(0,MIN(E76,Einstellungen!$B$15-(SUMIFS($E$13:$E76,$H$13:$H76,H76)-E76)))))</f>
        <v>1</v>
      </c>
      <c r="M76" s="59">
        <f t="shared" si="3"/>
        <v>0</v>
      </c>
      <c r="N76" s="59">
        <f t="shared" si="4"/>
        <v>23</v>
      </c>
      <c r="O76" s="59">
        <f>IF(A76="","",IF(Einstellungen!$B$15="","",Einstellungen!$B$15-N76))</f>
        <v>-3</v>
      </c>
    </row>
    <row r="77" spans="1:15" ht="54" customHeight="1">
      <c r="A77" s="54">
        <v>46217</v>
      </c>
      <c r="B77" s="13" t="s">
        <v>50</v>
      </c>
      <c r="C77" s="13"/>
      <c r="D77" s="13" t="s">
        <v>265</v>
      </c>
      <c r="E77" s="46">
        <v>2.25</v>
      </c>
      <c r="F77" s="46">
        <f>IF(A77="","",Einstellungen!$B$5)</f>
        <v>85</v>
      </c>
      <c r="G77" s="47">
        <f t="shared" ref="G77:G140" si="7">IF(A77="","",L77*F77)</f>
        <v>191.25</v>
      </c>
      <c r="H77" s="14">
        <f t="shared" ref="H77:H140" si="8">IF(A77="","",WEEKNUM(A77,21))</f>
        <v>29</v>
      </c>
      <c r="I77" s="13" t="str">
        <f t="shared" si="6"/>
        <v>Juli YYYY</v>
      </c>
      <c r="J77" s="13"/>
      <c r="K77" s="13"/>
      <c r="L77" s="59">
        <f>IF(A77="","",IF(Einstellungen!$B$15="","",MAX(0,MIN(E77,Einstellungen!$B$15-(SUMIFS($E$13:$E77,$H$13:$H77,H77)-E77)))))</f>
        <v>2.25</v>
      </c>
      <c r="M77" s="59">
        <f t="shared" ref="M77:M140" si="9">IF(A77="","",IF(L77="","",E77-L77))</f>
        <v>0</v>
      </c>
      <c r="N77" s="59">
        <f t="shared" ref="N77:N140" si="10">IF(A77="","",SUMIFS($E$13:$E$214,$H$13:$H$214,H77))</f>
        <v>23</v>
      </c>
      <c r="O77" s="59">
        <f>IF(A77="","",IF(Einstellungen!$B$15="","",Einstellungen!$B$15-N77))</f>
        <v>-3</v>
      </c>
    </row>
    <row r="78" spans="1:15" ht="54" customHeight="1">
      <c r="A78" s="54">
        <v>46218</v>
      </c>
      <c r="B78" s="13" t="s">
        <v>50</v>
      </c>
      <c r="C78" s="13"/>
      <c r="D78" s="13" t="s">
        <v>259</v>
      </c>
      <c r="E78" s="46">
        <v>1</v>
      </c>
      <c r="F78" s="46">
        <f>IF(A78="","",Einstellungen!$B$5)</f>
        <v>85</v>
      </c>
      <c r="G78" s="47">
        <f t="shared" si="7"/>
        <v>85</v>
      </c>
      <c r="H78" s="14">
        <f t="shared" si="8"/>
        <v>29</v>
      </c>
      <c r="I78" s="13" t="str">
        <f t="shared" si="6"/>
        <v>Juli YYYY</v>
      </c>
      <c r="J78" s="13"/>
      <c r="K78" s="13"/>
      <c r="L78" s="59">
        <f>IF(A78="","",IF(Einstellungen!$B$15="","",MAX(0,MIN(E78,Einstellungen!$B$15-(SUMIFS($E$13:$E78,$H$13:$H78,H78)-E78)))))</f>
        <v>1</v>
      </c>
      <c r="M78" s="59">
        <f t="shared" si="9"/>
        <v>0</v>
      </c>
      <c r="N78" s="59">
        <f t="shared" si="10"/>
        <v>23</v>
      </c>
      <c r="O78" s="59">
        <f>IF(A78="","",IF(Einstellungen!$B$15="","",Einstellungen!$B$15-N78))</f>
        <v>-3</v>
      </c>
    </row>
    <row r="79" spans="1:15" ht="54" customHeight="1">
      <c r="A79" s="54">
        <v>46217</v>
      </c>
      <c r="B79" s="13" t="s">
        <v>50</v>
      </c>
      <c r="C79" s="13"/>
      <c r="D79" s="13" t="s">
        <v>266</v>
      </c>
      <c r="E79" s="46">
        <v>1.5</v>
      </c>
      <c r="F79" s="46">
        <f>IF(A79="","",Einstellungen!$B$5)</f>
        <v>85</v>
      </c>
      <c r="G79" s="47">
        <f t="shared" si="7"/>
        <v>127.5</v>
      </c>
      <c r="H79" s="14">
        <f t="shared" si="8"/>
        <v>29</v>
      </c>
      <c r="I79" s="13" t="str">
        <f t="shared" si="6"/>
        <v>Juli YYYY</v>
      </c>
      <c r="J79" s="13"/>
      <c r="K79" s="13"/>
      <c r="L79" s="59">
        <f>IF(A79="","",IF(Einstellungen!$B$15="","",MAX(0,MIN(E79,Einstellungen!$B$15-(SUMIFS($E$13:$E79,$H$13:$H79,H79)-E79)))))</f>
        <v>1.5</v>
      </c>
      <c r="M79" s="59">
        <f t="shared" si="9"/>
        <v>0</v>
      </c>
      <c r="N79" s="59">
        <f t="shared" si="10"/>
        <v>23</v>
      </c>
      <c r="O79" s="59">
        <f>IF(A79="","",IF(Einstellungen!$B$15="","",Einstellungen!$B$15-N79))</f>
        <v>-3</v>
      </c>
    </row>
    <row r="80" spans="1:15" ht="54" customHeight="1">
      <c r="A80" s="54">
        <v>46217</v>
      </c>
      <c r="B80" s="13" t="s">
        <v>50</v>
      </c>
      <c r="C80" s="13"/>
      <c r="D80" s="13" t="s">
        <v>261</v>
      </c>
      <c r="E80" s="46">
        <v>1.25</v>
      </c>
      <c r="F80" s="46">
        <f>IF(A80="","",Einstellungen!$B$5)</f>
        <v>85</v>
      </c>
      <c r="G80" s="47">
        <f t="shared" si="7"/>
        <v>106.25</v>
      </c>
      <c r="H80" s="14">
        <f t="shared" si="8"/>
        <v>29</v>
      </c>
      <c r="I80" s="13" t="str">
        <f t="shared" si="6"/>
        <v>Juli YYYY</v>
      </c>
      <c r="J80" s="13"/>
      <c r="K80" s="13"/>
      <c r="L80" s="59">
        <f>IF(A80="","",IF(Einstellungen!$B$15="","",MAX(0,MIN(E80,Einstellungen!$B$15-(SUMIFS($E$13:$E80,$H$13:$H80,H80)-E80)))))</f>
        <v>1.25</v>
      </c>
      <c r="M80" s="59">
        <f t="shared" si="9"/>
        <v>0</v>
      </c>
      <c r="N80" s="59">
        <f t="shared" si="10"/>
        <v>23</v>
      </c>
      <c r="O80" s="59">
        <f>IF(A80="","",IF(Einstellungen!$B$15="","",Einstellungen!$B$15-N80))</f>
        <v>-3</v>
      </c>
    </row>
    <row r="81" spans="1:15" ht="54" customHeight="1">
      <c r="A81" s="54">
        <v>46217</v>
      </c>
      <c r="B81" s="13" t="s">
        <v>50</v>
      </c>
      <c r="C81" s="13"/>
      <c r="D81" s="13" t="s">
        <v>263</v>
      </c>
      <c r="E81" s="46">
        <v>0.75</v>
      </c>
      <c r="F81" s="46">
        <f>IF(A81="","",Einstellungen!$B$5)</f>
        <v>85</v>
      </c>
      <c r="G81" s="47">
        <f t="shared" si="7"/>
        <v>63.75</v>
      </c>
      <c r="H81" s="14">
        <f t="shared" si="8"/>
        <v>29</v>
      </c>
      <c r="I81" s="13" t="str">
        <f t="shared" si="6"/>
        <v>Juli YYYY</v>
      </c>
      <c r="J81" s="13"/>
      <c r="K81" s="13"/>
      <c r="L81" s="59">
        <f>IF(A81="","",IF(Einstellungen!$B$15="","",MAX(0,MIN(E81,Einstellungen!$B$15-(SUMIFS($E$13:$E81,$H$13:$H81,H81)-E81)))))</f>
        <v>0.75</v>
      </c>
      <c r="M81" s="59">
        <f t="shared" si="9"/>
        <v>0</v>
      </c>
      <c r="N81" s="59">
        <f t="shared" si="10"/>
        <v>23</v>
      </c>
      <c r="O81" s="59">
        <f>IF(A81="","",IF(Einstellungen!$B$15="","",Einstellungen!$B$15-N81))</f>
        <v>-3</v>
      </c>
    </row>
    <row r="82" spans="1:15" ht="54" customHeight="1">
      <c r="A82" s="54">
        <v>46218</v>
      </c>
      <c r="B82" s="13" t="s">
        <v>50</v>
      </c>
      <c r="C82" s="13"/>
      <c r="D82" s="13" t="s">
        <v>264</v>
      </c>
      <c r="E82" s="46">
        <v>1.5</v>
      </c>
      <c r="F82" s="46">
        <f>IF(A82="","",Einstellungen!$B$5)</f>
        <v>85</v>
      </c>
      <c r="G82" s="47">
        <f t="shared" si="7"/>
        <v>42.5</v>
      </c>
      <c r="H82" s="14">
        <f t="shared" si="8"/>
        <v>29</v>
      </c>
      <c r="I82" s="13" t="str">
        <f t="shared" si="6"/>
        <v>Juli YYYY</v>
      </c>
      <c r="J82" s="13"/>
      <c r="K82" s="13"/>
      <c r="L82" s="59">
        <f>IF(A82="","",IF(Einstellungen!$B$15="","",MAX(0,MIN(E82,Einstellungen!$B$15-(SUMIFS($E$13:$E82,$H$13:$H82,H82)-E82)))))</f>
        <v>0.5</v>
      </c>
      <c r="M82" s="59">
        <f t="shared" si="9"/>
        <v>1</v>
      </c>
      <c r="N82" s="59">
        <f t="shared" si="10"/>
        <v>23</v>
      </c>
      <c r="O82" s="59">
        <f>IF(A82="","",IF(Einstellungen!$B$15="","",Einstellungen!$B$15-N82))</f>
        <v>-3</v>
      </c>
    </row>
    <row r="83" spans="1:15" ht="54" customHeight="1">
      <c r="A83" s="54">
        <v>46218</v>
      </c>
      <c r="B83" s="13" t="s">
        <v>50</v>
      </c>
      <c r="C83" s="13"/>
      <c r="D83" s="13" t="s">
        <v>267</v>
      </c>
      <c r="E83" s="46">
        <v>0.75</v>
      </c>
      <c r="F83" s="46">
        <f>IF(A83="","",Einstellungen!$B$5)</f>
        <v>85</v>
      </c>
      <c r="G83" s="47">
        <f t="shared" si="7"/>
        <v>0</v>
      </c>
      <c r="H83" s="14">
        <f t="shared" si="8"/>
        <v>29</v>
      </c>
      <c r="I83" s="13" t="str">
        <f t="shared" si="6"/>
        <v>Juli YYYY</v>
      </c>
      <c r="J83" s="13"/>
      <c r="K83" s="13"/>
      <c r="L83" s="59">
        <f>IF(A83="","",IF(Einstellungen!$B$15="","",MAX(0,MIN(E83,Einstellungen!$B$15-(SUMIFS($E$13:$E83,$H$13:$H83,H83)-E83)))))</f>
        <v>0</v>
      </c>
      <c r="M83" s="59">
        <f t="shared" si="9"/>
        <v>0.75</v>
      </c>
      <c r="N83" s="59">
        <f t="shared" si="10"/>
        <v>23</v>
      </c>
      <c r="O83" s="59">
        <f>IF(A83="","",IF(Einstellungen!$B$15="","",Einstellungen!$B$15-N83))</f>
        <v>-3</v>
      </c>
    </row>
    <row r="84" spans="1:15" ht="54" customHeight="1">
      <c r="A84" s="54">
        <v>46220</v>
      </c>
      <c r="B84" s="13" t="s">
        <v>50</v>
      </c>
      <c r="C84" s="13"/>
      <c r="D84" s="13" t="s">
        <v>268</v>
      </c>
      <c r="E84" s="46">
        <v>1.25</v>
      </c>
      <c r="F84" s="46">
        <f>IF(A84="","",Einstellungen!$B$5)</f>
        <v>85</v>
      </c>
      <c r="G84" s="47">
        <f t="shared" si="7"/>
        <v>0</v>
      </c>
      <c r="H84" s="14">
        <f t="shared" si="8"/>
        <v>29</v>
      </c>
      <c r="I84" s="13" t="str">
        <f t="shared" si="6"/>
        <v>Juli YYYY</v>
      </c>
      <c r="J84" s="13"/>
      <c r="K84" s="13"/>
      <c r="L84" s="59">
        <f>IF(A84="","",IF(Einstellungen!$B$15="","",MAX(0,MIN(E84,Einstellungen!$B$15-(SUMIFS($E$13:$E84,$H$13:$H84,H84)-E84)))))</f>
        <v>0</v>
      </c>
      <c r="M84" s="59">
        <f t="shared" si="9"/>
        <v>1.25</v>
      </c>
      <c r="N84" s="59">
        <f t="shared" si="10"/>
        <v>23</v>
      </c>
      <c r="O84" s="59">
        <f>IF(A84="","",IF(Einstellungen!$B$15="","",Einstellungen!$B$15-N84))</f>
        <v>-3</v>
      </c>
    </row>
    <row r="85" spans="1:15" ht="54" customHeight="1">
      <c r="A85" s="54"/>
      <c r="B85" s="13"/>
      <c r="C85" s="13"/>
      <c r="D85" s="13"/>
      <c r="E85" s="46"/>
      <c r="F85" s="46" t="str">
        <f>IF(A85="","",Einstellungen!$B$5)</f>
        <v/>
      </c>
      <c r="G85" s="47" t="str">
        <f t="shared" si="7"/>
        <v/>
      </c>
      <c r="H85" s="14" t="str">
        <f t="shared" si="8"/>
        <v/>
      </c>
      <c r="I85" s="13" t="str">
        <f t="shared" si="6"/>
        <v/>
      </c>
      <c r="J85" s="13"/>
      <c r="K85" s="13"/>
      <c r="L85" s="59" t="str">
        <f>IF(A85="","",IF(Einstellungen!$B$15="","",MAX(0,MIN(E85,Einstellungen!$B$15-(SUMIFS($E$13:$E85,$H$13:$H85,H85)-E85)))))</f>
        <v/>
      </c>
      <c r="M85" s="59" t="str">
        <f t="shared" si="9"/>
        <v/>
      </c>
      <c r="N85" s="59" t="str">
        <f t="shared" si="10"/>
        <v/>
      </c>
      <c r="O85" s="59" t="str">
        <f>IF(A85="","",IF(Einstellungen!$B$15="","",Einstellungen!$B$15-N85))</f>
        <v/>
      </c>
    </row>
    <row r="86" spans="1:15" ht="54" customHeight="1">
      <c r="A86" s="54">
        <v>46223</v>
      </c>
      <c r="B86" s="13" t="s">
        <v>119</v>
      </c>
      <c r="C86" s="13"/>
      <c r="D86" s="13" t="s">
        <v>120</v>
      </c>
      <c r="E86" s="46">
        <v>3.5</v>
      </c>
      <c r="F86" s="46">
        <f>IF(A86="","",Einstellungen!$B$5)</f>
        <v>85</v>
      </c>
      <c r="G86" s="47">
        <f t="shared" si="7"/>
        <v>297.5</v>
      </c>
      <c r="H86" s="14">
        <f t="shared" si="8"/>
        <v>30</v>
      </c>
      <c r="I86" s="13" t="str">
        <f t="shared" si="6"/>
        <v>Juli YYYY</v>
      </c>
      <c r="J86" s="13"/>
      <c r="K86" s="13"/>
      <c r="L86" s="59">
        <f>IF(A86="","",IF(Einstellungen!$B$15="","",MAX(0,MIN(E86,Einstellungen!$B$15-(SUMIFS($E$13:$E86,$H$13:$H86,H86)-E86)))))</f>
        <v>3.5</v>
      </c>
      <c r="M86" s="59">
        <f t="shared" si="9"/>
        <v>0</v>
      </c>
      <c r="N86" s="59">
        <f t="shared" si="10"/>
        <v>6.5</v>
      </c>
      <c r="O86" s="59">
        <f>IF(A86="","",IF(Einstellungen!$B$15="","",Einstellungen!$B$15-N86))</f>
        <v>13.5</v>
      </c>
    </row>
    <row r="87" spans="1:15" ht="54" customHeight="1">
      <c r="A87" s="54">
        <v>46223</v>
      </c>
      <c r="B87" s="13" t="s">
        <v>50</v>
      </c>
      <c r="C87" s="13"/>
      <c r="D87" s="13" t="s">
        <v>118</v>
      </c>
      <c r="E87" s="46">
        <v>1.5</v>
      </c>
      <c r="F87" s="46">
        <f>IF(A87="","",Einstellungen!$B$5)</f>
        <v>85</v>
      </c>
      <c r="G87" s="47">
        <f t="shared" si="7"/>
        <v>127.5</v>
      </c>
      <c r="H87" s="14">
        <f t="shared" si="8"/>
        <v>30</v>
      </c>
      <c r="I87" s="13" t="str">
        <f t="shared" si="6"/>
        <v>Juli YYYY</v>
      </c>
      <c r="J87" s="13"/>
      <c r="K87" s="13"/>
      <c r="L87" s="59">
        <f>IF(A87="","",IF(Einstellungen!$B$15="","",MAX(0,MIN(E87,Einstellungen!$B$15-(SUMIFS($E$13:$E87,$H$13:$H87,H87)-E87)))))</f>
        <v>1.5</v>
      </c>
      <c r="M87" s="59">
        <f t="shared" si="9"/>
        <v>0</v>
      </c>
      <c r="N87" s="59">
        <f t="shared" si="10"/>
        <v>6.5</v>
      </c>
      <c r="O87" s="59">
        <f>IF(A87="","",IF(Einstellungen!$B$15="","",Einstellungen!$B$15-N87))</f>
        <v>13.5</v>
      </c>
    </row>
    <row r="88" spans="1:15" ht="54" customHeight="1">
      <c r="A88" s="54">
        <v>46223</v>
      </c>
      <c r="B88" s="13" t="s">
        <v>50</v>
      </c>
      <c r="C88" s="13"/>
      <c r="D88" s="13" t="s">
        <v>262</v>
      </c>
      <c r="E88" s="46">
        <v>1.5</v>
      </c>
      <c r="F88" s="46">
        <f>IF(A88="","",Einstellungen!$B$5)</f>
        <v>85</v>
      </c>
      <c r="G88" s="47">
        <f t="shared" si="7"/>
        <v>127.5</v>
      </c>
      <c r="H88" s="14">
        <f t="shared" si="8"/>
        <v>30</v>
      </c>
      <c r="I88" s="13" t="str">
        <f t="shared" si="6"/>
        <v>Juli YYYY</v>
      </c>
      <c r="J88" s="13"/>
      <c r="K88" s="13"/>
      <c r="L88" s="59">
        <f>IF(A88="","",IF(Einstellungen!$B$15="","",MAX(0,MIN(E88,Einstellungen!$B$15-(SUMIFS($E$13:$E88,$H$13:$H88,H88)-E88)))))</f>
        <v>1.5</v>
      </c>
      <c r="M88" s="59">
        <f t="shared" si="9"/>
        <v>0</v>
      </c>
      <c r="N88" s="59">
        <f t="shared" si="10"/>
        <v>6.5</v>
      </c>
      <c r="O88" s="59">
        <f>IF(A88="","",IF(Einstellungen!$B$15="","",Einstellungen!$B$15-N88))</f>
        <v>13.5</v>
      </c>
    </row>
    <row r="89" spans="1:15" ht="54" customHeight="1">
      <c r="A89" s="54"/>
      <c r="B89" s="13"/>
      <c r="C89" s="13"/>
      <c r="D89" s="13"/>
      <c r="E89" s="46"/>
      <c r="F89" s="46" t="str">
        <f>IF(A89="","",Einstellungen!$B$5)</f>
        <v/>
      </c>
      <c r="G89" s="47" t="str">
        <f t="shared" si="7"/>
        <v/>
      </c>
      <c r="H89" s="14" t="str">
        <f t="shared" si="8"/>
        <v/>
      </c>
      <c r="I89" s="13" t="str">
        <f t="shared" si="6"/>
        <v/>
      </c>
      <c r="J89" s="13"/>
      <c r="K89" s="13"/>
      <c r="L89" s="59" t="str">
        <f>IF(A89="","",IF(Einstellungen!$B$15="","",MAX(0,MIN(E89,Einstellungen!$B$15-(SUMIFS($E$13:$E89,$H$13:$H89,H89)-E89)))))</f>
        <v/>
      </c>
      <c r="M89" s="59" t="str">
        <f t="shared" si="9"/>
        <v/>
      </c>
      <c r="N89" s="59" t="str">
        <f t="shared" si="10"/>
        <v/>
      </c>
      <c r="O89" s="59" t="str">
        <f>IF(A89="","",IF(Einstellungen!$B$15="","",Einstellungen!$B$15-N89))</f>
        <v/>
      </c>
    </row>
    <row r="90" spans="1:15" ht="54" customHeight="1">
      <c r="A90" s="54"/>
      <c r="B90" s="13"/>
      <c r="C90" s="13"/>
      <c r="D90" s="13"/>
      <c r="E90" s="46"/>
      <c r="F90" s="46" t="str">
        <f>IF(A90="","",Einstellungen!$B$5)</f>
        <v/>
      </c>
      <c r="G90" s="47" t="str">
        <f t="shared" si="7"/>
        <v/>
      </c>
      <c r="H90" s="14" t="str">
        <f t="shared" si="8"/>
        <v/>
      </c>
      <c r="I90" s="13" t="str">
        <f t="shared" si="6"/>
        <v/>
      </c>
      <c r="J90" s="13"/>
      <c r="K90" s="13"/>
      <c r="L90" s="59" t="str">
        <f>IF(A90="","",IF(Einstellungen!$B$15="","",MAX(0,MIN(E90,Einstellungen!$B$15-(SUMIFS($E$13:$E90,$H$13:$H90,H90)-E90)))))</f>
        <v/>
      </c>
      <c r="M90" s="59" t="str">
        <f t="shared" si="9"/>
        <v/>
      </c>
      <c r="N90" s="59" t="str">
        <f t="shared" si="10"/>
        <v/>
      </c>
      <c r="O90" s="59" t="str">
        <f>IF(A90="","",IF(Einstellungen!$B$15="","",Einstellungen!$B$15-N90))</f>
        <v/>
      </c>
    </row>
    <row r="91" spans="1:15" ht="54" customHeight="1">
      <c r="A91" s="54"/>
      <c r="B91" s="13"/>
      <c r="C91" s="13"/>
      <c r="D91" s="13"/>
      <c r="E91" s="46"/>
      <c r="F91" s="46" t="str">
        <f>IF(A91="","",Einstellungen!$B$5)</f>
        <v/>
      </c>
      <c r="G91" s="47" t="str">
        <f t="shared" si="7"/>
        <v/>
      </c>
      <c r="H91" s="14" t="str">
        <f t="shared" si="8"/>
        <v/>
      </c>
      <c r="I91" s="13" t="str">
        <f t="shared" si="6"/>
        <v/>
      </c>
      <c r="J91" s="13"/>
      <c r="K91" s="13"/>
      <c r="L91" s="59" t="str">
        <f>IF(A91="","",IF(Einstellungen!$B$15="","",MAX(0,MIN(E91,Einstellungen!$B$15-(SUMIFS($E$13:$E91,$H$13:$H91,H91)-E91)))))</f>
        <v/>
      </c>
      <c r="M91" s="59" t="str">
        <f t="shared" si="9"/>
        <v/>
      </c>
      <c r="N91" s="59" t="str">
        <f t="shared" si="10"/>
        <v/>
      </c>
      <c r="O91" s="59" t="str">
        <f>IF(A91="","",IF(Einstellungen!$B$15="","",Einstellungen!$B$15-N91))</f>
        <v/>
      </c>
    </row>
    <row r="92" spans="1:15" ht="54" customHeight="1">
      <c r="A92" s="54"/>
      <c r="B92" s="13"/>
      <c r="C92" s="13"/>
      <c r="D92" s="13"/>
      <c r="E92" s="46"/>
      <c r="F92" s="46" t="str">
        <f>IF(A92="","",Einstellungen!$B$5)</f>
        <v/>
      </c>
      <c r="G92" s="47" t="str">
        <f t="shared" si="7"/>
        <v/>
      </c>
      <c r="H92" s="14" t="str">
        <f t="shared" si="8"/>
        <v/>
      </c>
      <c r="I92" s="13" t="str">
        <f t="shared" si="6"/>
        <v/>
      </c>
      <c r="J92" s="13"/>
      <c r="K92" s="13"/>
      <c r="L92" s="59" t="str">
        <f>IF(A92="","",IF(Einstellungen!$B$15="","",MAX(0,MIN(E92,Einstellungen!$B$15-(SUMIFS($E$13:$E92,$H$13:$H92,H92)-E92)))))</f>
        <v/>
      </c>
      <c r="M92" s="59" t="str">
        <f t="shared" si="9"/>
        <v/>
      </c>
      <c r="N92" s="59" t="str">
        <f t="shared" si="10"/>
        <v/>
      </c>
      <c r="O92" s="59" t="str">
        <f>IF(A92="","",IF(Einstellungen!$B$15="","",Einstellungen!$B$15-N92))</f>
        <v/>
      </c>
    </row>
    <row r="93" spans="1:15" ht="54" customHeight="1">
      <c r="A93" s="54"/>
      <c r="B93" s="13"/>
      <c r="C93" s="13"/>
      <c r="D93" s="13"/>
      <c r="E93" s="46"/>
      <c r="F93" s="46" t="str">
        <f>IF(A93="","",Einstellungen!$B$5)</f>
        <v/>
      </c>
      <c r="G93" s="47" t="str">
        <f t="shared" si="7"/>
        <v/>
      </c>
      <c r="H93" s="14" t="str">
        <f t="shared" si="8"/>
        <v/>
      </c>
      <c r="I93" s="13" t="str">
        <f t="shared" si="6"/>
        <v/>
      </c>
      <c r="J93" s="13"/>
      <c r="K93" s="13"/>
      <c r="L93" s="59" t="str">
        <f>IF(A93="","",IF(Einstellungen!$B$15="","",MAX(0,MIN(E93,Einstellungen!$B$15-(SUMIFS($E$13:$E93,$H$13:$H93,H93)-E93)))))</f>
        <v/>
      </c>
      <c r="M93" s="59" t="str">
        <f t="shared" si="9"/>
        <v/>
      </c>
      <c r="N93" s="59" t="str">
        <f t="shared" si="10"/>
        <v/>
      </c>
      <c r="O93" s="59" t="str">
        <f>IF(A93="","",IF(Einstellungen!$B$15="","",Einstellungen!$B$15-N93))</f>
        <v/>
      </c>
    </row>
    <row r="94" spans="1:15" ht="54" customHeight="1">
      <c r="A94" s="54"/>
      <c r="B94" s="13"/>
      <c r="C94" s="13"/>
      <c r="D94" s="13"/>
      <c r="E94" s="46"/>
      <c r="F94" s="46" t="str">
        <f>IF(A94="","",Einstellungen!$B$5)</f>
        <v/>
      </c>
      <c r="G94" s="47" t="str">
        <f t="shared" si="7"/>
        <v/>
      </c>
      <c r="H94" s="14" t="str">
        <f t="shared" si="8"/>
        <v/>
      </c>
      <c r="I94" s="13" t="str">
        <f t="shared" si="6"/>
        <v/>
      </c>
      <c r="J94" s="13"/>
      <c r="K94" s="13"/>
      <c r="L94" s="59" t="str">
        <f>IF(A94="","",IF(Einstellungen!$B$15="","",MAX(0,MIN(E94,Einstellungen!$B$15-(SUMIFS($E$13:$E94,$H$13:$H94,H94)-E94)))))</f>
        <v/>
      </c>
      <c r="M94" s="59" t="str">
        <f t="shared" si="9"/>
        <v/>
      </c>
      <c r="N94" s="59" t="str">
        <f t="shared" si="10"/>
        <v/>
      </c>
      <c r="O94" s="59" t="str">
        <f>IF(A94="","",IF(Einstellungen!$B$15="","",Einstellungen!$B$15-N94))</f>
        <v/>
      </c>
    </row>
    <row r="95" spans="1:15" ht="54" customHeight="1">
      <c r="A95" s="54"/>
      <c r="B95" s="13"/>
      <c r="C95" s="13"/>
      <c r="D95" s="13"/>
      <c r="E95" s="46"/>
      <c r="F95" s="46" t="str">
        <f>IF(A95="","",Einstellungen!$B$5)</f>
        <v/>
      </c>
      <c r="G95" s="47" t="str">
        <f t="shared" si="7"/>
        <v/>
      </c>
      <c r="H95" s="14" t="str">
        <f t="shared" si="8"/>
        <v/>
      </c>
      <c r="I95" s="13" t="str">
        <f t="shared" si="6"/>
        <v/>
      </c>
      <c r="J95" s="13"/>
      <c r="K95" s="13"/>
      <c r="L95" s="59" t="str">
        <f>IF(A95="","",IF(Einstellungen!$B$15="","",MAX(0,MIN(E95,Einstellungen!$B$15-(SUMIFS($E$13:$E95,$H$13:$H95,H95)-E95)))))</f>
        <v/>
      </c>
      <c r="M95" s="59" t="str">
        <f t="shared" si="9"/>
        <v/>
      </c>
      <c r="N95" s="59" t="str">
        <f t="shared" si="10"/>
        <v/>
      </c>
      <c r="O95" s="59" t="str">
        <f>IF(A95="","",IF(Einstellungen!$B$15="","",Einstellungen!$B$15-N95))</f>
        <v/>
      </c>
    </row>
    <row r="96" spans="1:15" ht="54" customHeight="1">
      <c r="A96" s="54"/>
      <c r="B96" s="13"/>
      <c r="C96" s="13"/>
      <c r="D96" s="13"/>
      <c r="E96" s="46"/>
      <c r="F96" s="46" t="str">
        <f>IF(A96="","",Einstellungen!$B$5)</f>
        <v/>
      </c>
      <c r="G96" s="47" t="str">
        <f t="shared" si="7"/>
        <v/>
      </c>
      <c r="H96" s="14" t="str">
        <f t="shared" si="8"/>
        <v/>
      </c>
      <c r="I96" s="13" t="str">
        <f t="shared" si="6"/>
        <v/>
      </c>
      <c r="J96" s="13"/>
      <c r="K96" s="13"/>
      <c r="L96" s="59" t="str">
        <f>IF(A96="","",IF(Einstellungen!$B$15="","",MAX(0,MIN(E96,Einstellungen!$B$15-(SUMIFS($E$13:$E96,$H$13:$H96,H96)-E96)))))</f>
        <v/>
      </c>
      <c r="M96" s="59" t="str">
        <f t="shared" si="9"/>
        <v/>
      </c>
      <c r="N96" s="59" t="str">
        <f t="shared" si="10"/>
        <v/>
      </c>
      <c r="O96" s="59" t="str">
        <f>IF(A96="","",IF(Einstellungen!$B$15="","",Einstellungen!$B$15-N96))</f>
        <v/>
      </c>
    </row>
    <row r="97" spans="1:15" ht="54" customHeight="1">
      <c r="A97" s="54"/>
      <c r="B97" s="13"/>
      <c r="C97" s="13"/>
      <c r="D97" s="13"/>
      <c r="E97" s="46"/>
      <c r="F97" s="46" t="str">
        <f>IF(A97="","",Einstellungen!$B$5)</f>
        <v/>
      </c>
      <c r="G97" s="47" t="str">
        <f t="shared" si="7"/>
        <v/>
      </c>
      <c r="H97" s="14" t="str">
        <f t="shared" si="8"/>
        <v/>
      </c>
      <c r="I97" s="13" t="str">
        <f t="shared" si="6"/>
        <v/>
      </c>
      <c r="J97" s="13"/>
      <c r="K97" s="13"/>
      <c r="L97" s="59" t="str">
        <f>IF(A97="","",IF(Einstellungen!$B$15="","",MAX(0,MIN(E97,Einstellungen!$B$15-(SUMIFS($E$13:$E97,$H$13:$H97,H97)-E97)))))</f>
        <v/>
      </c>
      <c r="M97" s="59" t="str">
        <f t="shared" si="9"/>
        <v/>
      </c>
      <c r="N97" s="59" t="str">
        <f t="shared" si="10"/>
        <v/>
      </c>
      <c r="O97" s="59" t="str">
        <f>IF(A97="","",IF(Einstellungen!$B$15="","",Einstellungen!$B$15-N97))</f>
        <v/>
      </c>
    </row>
    <row r="98" spans="1:15" ht="54" customHeight="1">
      <c r="A98" s="54"/>
      <c r="B98" s="13"/>
      <c r="C98" s="13"/>
      <c r="D98" s="13"/>
      <c r="E98" s="46"/>
      <c r="F98" s="46" t="str">
        <f>IF(A98="","",Einstellungen!$B$5)</f>
        <v/>
      </c>
      <c r="G98" s="47" t="str">
        <f t="shared" si="7"/>
        <v/>
      </c>
      <c r="H98" s="14" t="str">
        <f t="shared" si="8"/>
        <v/>
      </c>
      <c r="I98" s="13" t="str">
        <f t="shared" si="6"/>
        <v/>
      </c>
      <c r="J98" s="13"/>
      <c r="K98" s="13"/>
      <c r="L98" s="59" t="str">
        <f>IF(A98="","",IF(Einstellungen!$B$15="","",MAX(0,MIN(E98,Einstellungen!$B$15-(SUMIFS($E$13:$E98,$H$13:$H98,H98)-E98)))))</f>
        <v/>
      </c>
      <c r="M98" s="59" t="str">
        <f t="shared" si="9"/>
        <v/>
      </c>
      <c r="N98" s="59" t="str">
        <f t="shared" si="10"/>
        <v/>
      </c>
      <c r="O98" s="59" t="str">
        <f>IF(A98="","",IF(Einstellungen!$B$15="","",Einstellungen!$B$15-N98))</f>
        <v/>
      </c>
    </row>
    <row r="99" spans="1:15" ht="54" customHeight="1">
      <c r="A99" s="54"/>
      <c r="B99" s="13"/>
      <c r="C99" s="13"/>
      <c r="D99" s="13"/>
      <c r="E99" s="46"/>
      <c r="F99" s="46" t="str">
        <f>IF(A99="","",Einstellungen!$B$5)</f>
        <v/>
      </c>
      <c r="G99" s="47" t="str">
        <f t="shared" si="7"/>
        <v/>
      </c>
      <c r="H99" s="14" t="str">
        <f t="shared" si="8"/>
        <v/>
      </c>
      <c r="I99" s="13" t="str">
        <f t="shared" ref="I99:I130" si="11">IF(A99="","",TEXT(A99,"[$-de-DE]MMMM YYYY"))</f>
        <v/>
      </c>
      <c r="J99" s="13"/>
      <c r="K99" s="13"/>
      <c r="L99" s="59" t="str">
        <f>IF(A99="","",IF(Einstellungen!$B$15="","",MAX(0,MIN(E99,Einstellungen!$B$15-(SUMIFS($E$13:$E99,$H$13:$H99,H99)-E99)))))</f>
        <v/>
      </c>
      <c r="M99" s="59" t="str">
        <f t="shared" si="9"/>
        <v/>
      </c>
      <c r="N99" s="59" t="str">
        <f t="shared" si="10"/>
        <v/>
      </c>
      <c r="O99" s="59" t="str">
        <f>IF(A99="","",IF(Einstellungen!$B$15="","",Einstellungen!$B$15-N99))</f>
        <v/>
      </c>
    </row>
    <row r="100" spans="1:15" ht="54" customHeight="1">
      <c r="A100" s="54"/>
      <c r="B100" s="13"/>
      <c r="C100" s="13"/>
      <c r="D100" s="13"/>
      <c r="E100" s="46"/>
      <c r="F100" s="46" t="str">
        <f>IF(A100="","",Einstellungen!$B$5)</f>
        <v/>
      </c>
      <c r="G100" s="47" t="str">
        <f t="shared" si="7"/>
        <v/>
      </c>
      <c r="H100" s="14" t="str">
        <f t="shared" si="8"/>
        <v/>
      </c>
      <c r="I100" s="13" t="str">
        <f t="shared" si="11"/>
        <v/>
      </c>
      <c r="J100" s="13"/>
      <c r="K100" s="13"/>
      <c r="L100" s="59" t="str">
        <f>IF(A100="","",IF(Einstellungen!$B$15="","",MAX(0,MIN(E100,Einstellungen!$B$15-(SUMIFS($E$13:$E100,$H$13:$H100,H100)-E100)))))</f>
        <v/>
      </c>
      <c r="M100" s="59" t="str">
        <f t="shared" si="9"/>
        <v/>
      </c>
      <c r="N100" s="59" t="str">
        <f t="shared" si="10"/>
        <v/>
      </c>
      <c r="O100" s="59" t="str">
        <f>IF(A100="","",IF(Einstellungen!$B$15="","",Einstellungen!$B$15-N100))</f>
        <v/>
      </c>
    </row>
    <row r="101" spans="1:15" ht="54" customHeight="1">
      <c r="A101" s="54"/>
      <c r="B101" s="13"/>
      <c r="C101" s="13"/>
      <c r="D101" s="13"/>
      <c r="E101" s="46"/>
      <c r="F101" s="46" t="str">
        <f>IF(A101="","",Einstellungen!$B$5)</f>
        <v/>
      </c>
      <c r="G101" s="47" t="str">
        <f t="shared" si="7"/>
        <v/>
      </c>
      <c r="H101" s="14" t="str">
        <f t="shared" si="8"/>
        <v/>
      </c>
      <c r="I101" s="13" t="str">
        <f t="shared" si="11"/>
        <v/>
      </c>
      <c r="J101" s="13"/>
      <c r="K101" s="13"/>
      <c r="L101" s="59" t="str">
        <f>IF(A101="","",IF(Einstellungen!$B$15="","",MAX(0,MIN(E101,Einstellungen!$B$15-(SUMIFS($E$13:$E101,$H$13:$H101,H101)-E101)))))</f>
        <v/>
      </c>
      <c r="M101" s="59" t="str">
        <f t="shared" si="9"/>
        <v/>
      </c>
      <c r="N101" s="59" t="str">
        <f t="shared" si="10"/>
        <v/>
      </c>
      <c r="O101" s="59" t="str">
        <f>IF(A101="","",IF(Einstellungen!$B$15="","",Einstellungen!$B$15-N101))</f>
        <v/>
      </c>
    </row>
    <row r="102" spans="1:15" ht="54" customHeight="1">
      <c r="A102" s="54"/>
      <c r="B102" s="13"/>
      <c r="C102" s="13"/>
      <c r="D102" s="13"/>
      <c r="E102" s="46"/>
      <c r="F102" s="46" t="str">
        <f>IF(A102="","",Einstellungen!$B$5)</f>
        <v/>
      </c>
      <c r="G102" s="47" t="str">
        <f t="shared" si="7"/>
        <v/>
      </c>
      <c r="H102" s="14" t="str">
        <f t="shared" si="8"/>
        <v/>
      </c>
      <c r="I102" s="13" t="str">
        <f t="shared" si="11"/>
        <v/>
      </c>
      <c r="J102" s="13"/>
      <c r="K102" s="13"/>
      <c r="L102" s="59" t="str">
        <f>IF(A102="","",IF(Einstellungen!$B$15="","",MAX(0,MIN(E102,Einstellungen!$B$15-(SUMIFS($E$13:$E102,$H$13:$H102,H102)-E102)))))</f>
        <v/>
      </c>
      <c r="M102" s="59" t="str">
        <f t="shared" si="9"/>
        <v/>
      </c>
      <c r="N102" s="59" t="str">
        <f t="shared" si="10"/>
        <v/>
      </c>
      <c r="O102" s="59" t="str">
        <f>IF(A102="","",IF(Einstellungen!$B$15="","",Einstellungen!$B$15-N102))</f>
        <v/>
      </c>
    </row>
    <row r="103" spans="1:15" ht="54" customHeight="1">
      <c r="A103" s="54"/>
      <c r="B103" s="13"/>
      <c r="C103" s="13"/>
      <c r="D103" s="13"/>
      <c r="E103" s="46"/>
      <c r="F103" s="46" t="str">
        <f>IF(A103="","",Einstellungen!$B$5)</f>
        <v/>
      </c>
      <c r="G103" s="47" t="str">
        <f t="shared" si="7"/>
        <v/>
      </c>
      <c r="H103" s="14" t="str">
        <f t="shared" si="8"/>
        <v/>
      </c>
      <c r="I103" s="13" t="str">
        <f t="shared" si="11"/>
        <v/>
      </c>
      <c r="J103" s="13"/>
      <c r="K103" s="13"/>
      <c r="L103" s="59" t="str">
        <f>IF(A103="","",IF(Einstellungen!$B$15="","",MAX(0,MIN(E103,Einstellungen!$B$15-(SUMIFS($E$13:$E103,$H$13:$H103,H103)-E103)))))</f>
        <v/>
      </c>
      <c r="M103" s="59" t="str">
        <f t="shared" si="9"/>
        <v/>
      </c>
      <c r="N103" s="59" t="str">
        <f t="shared" si="10"/>
        <v/>
      </c>
      <c r="O103" s="59" t="str">
        <f>IF(A103="","",IF(Einstellungen!$B$15="","",Einstellungen!$B$15-N103))</f>
        <v/>
      </c>
    </row>
    <row r="104" spans="1:15" ht="54" customHeight="1">
      <c r="A104" s="54"/>
      <c r="B104" s="13"/>
      <c r="C104" s="13"/>
      <c r="D104" s="13"/>
      <c r="E104" s="46"/>
      <c r="F104" s="46" t="str">
        <f>IF(A104="","",Einstellungen!$B$5)</f>
        <v/>
      </c>
      <c r="G104" s="47" t="str">
        <f t="shared" si="7"/>
        <v/>
      </c>
      <c r="H104" s="14" t="str">
        <f t="shared" si="8"/>
        <v/>
      </c>
      <c r="I104" s="13" t="str">
        <f t="shared" si="11"/>
        <v/>
      </c>
      <c r="J104" s="13"/>
      <c r="K104" s="13"/>
      <c r="L104" s="59" t="str">
        <f>IF(A104="","",IF(Einstellungen!$B$15="","",MAX(0,MIN(E104,Einstellungen!$B$15-(SUMIFS($E$13:$E104,$H$13:$H104,H104)-E104)))))</f>
        <v/>
      </c>
      <c r="M104" s="59" t="str">
        <f t="shared" si="9"/>
        <v/>
      </c>
      <c r="N104" s="59" t="str">
        <f t="shared" si="10"/>
        <v/>
      </c>
      <c r="O104" s="59" t="str">
        <f>IF(A104="","",IF(Einstellungen!$B$15="","",Einstellungen!$B$15-N104))</f>
        <v/>
      </c>
    </row>
    <row r="105" spans="1:15" ht="54" customHeight="1">
      <c r="A105" s="54"/>
      <c r="B105" s="13"/>
      <c r="C105" s="13"/>
      <c r="D105" s="13"/>
      <c r="E105" s="46"/>
      <c r="F105" s="46" t="str">
        <f>IF(A105="","",Einstellungen!$B$5)</f>
        <v/>
      </c>
      <c r="G105" s="47" t="str">
        <f t="shared" si="7"/>
        <v/>
      </c>
      <c r="H105" s="14" t="str">
        <f t="shared" si="8"/>
        <v/>
      </c>
      <c r="I105" s="13" t="str">
        <f t="shared" si="11"/>
        <v/>
      </c>
      <c r="J105" s="13"/>
      <c r="K105" s="13"/>
      <c r="L105" s="59" t="str">
        <f>IF(A105="","",IF(Einstellungen!$B$15="","",MAX(0,MIN(E105,Einstellungen!$B$15-(SUMIFS($E$13:$E105,$H$13:$H105,H105)-E105)))))</f>
        <v/>
      </c>
      <c r="M105" s="59" t="str">
        <f t="shared" si="9"/>
        <v/>
      </c>
      <c r="N105" s="59" t="str">
        <f t="shared" si="10"/>
        <v/>
      </c>
      <c r="O105" s="59" t="str">
        <f>IF(A105="","",IF(Einstellungen!$B$15="","",Einstellungen!$B$15-N105))</f>
        <v/>
      </c>
    </row>
    <row r="106" spans="1:15" ht="54" customHeight="1">
      <c r="A106" s="54"/>
      <c r="B106" s="13"/>
      <c r="C106" s="13"/>
      <c r="D106" s="13"/>
      <c r="E106" s="46"/>
      <c r="F106" s="46" t="str">
        <f>IF(A106="","",Einstellungen!$B$5)</f>
        <v/>
      </c>
      <c r="G106" s="47" t="str">
        <f t="shared" si="7"/>
        <v/>
      </c>
      <c r="H106" s="14" t="str">
        <f t="shared" si="8"/>
        <v/>
      </c>
      <c r="I106" s="13" t="str">
        <f t="shared" si="11"/>
        <v/>
      </c>
      <c r="J106" s="13"/>
      <c r="K106" s="13"/>
      <c r="L106" s="59" t="str">
        <f>IF(A106="","",IF(Einstellungen!$B$15="","",MAX(0,MIN(E106,Einstellungen!$B$15-(SUMIFS($E$13:$E106,$H$13:$H106,H106)-E106)))))</f>
        <v/>
      </c>
      <c r="M106" s="59" t="str">
        <f t="shared" si="9"/>
        <v/>
      </c>
      <c r="N106" s="59" t="str">
        <f t="shared" si="10"/>
        <v/>
      </c>
      <c r="O106" s="59" t="str">
        <f>IF(A106="","",IF(Einstellungen!$B$15="","",Einstellungen!$B$15-N106))</f>
        <v/>
      </c>
    </row>
    <row r="107" spans="1:15" ht="54" customHeight="1">
      <c r="A107" s="54"/>
      <c r="B107" s="13"/>
      <c r="C107" s="13"/>
      <c r="D107" s="13"/>
      <c r="E107" s="46"/>
      <c r="F107" s="46" t="str">
        <f>IF(A107="","",Einstellungen!$B$5)</f>
        <v/>
      </c>
      <c r="G107" s="47" t="str">
        <f t="shared" si="7"/>
        <v/>
      </c>
      <c r="H107" s="14" t="str">
        <f t="shared" si="8"/>
        <v/>
      </c>
      <c r="I107" s="13" t="str">
        <f t="shared" si="11"/>
        <v/>
      </c>
      <c r="J107" s="13"/>
      <c r="K107" s="13"/>
      <c r="L107" s="59" t="str">
        <f>IF(A107="","",IF(Einstellungen!$B$15="","",MAX(0,MIN(E107,Einstellungen!$B$15-(SUMIFS($E$13:$E107,$H$13:$H107,H107)-E107)))))</f>
        <v/>
      </c>
      <c r="M107" s="59" t="str">
        <f t="shared" si="9"/>
        <v/>
      </c>
      <c r="N107" s="59" t="str">
        <f t="shared" si="10"/>
        <v/>
      </c>
      <c r="O107" s="59" t="str">
        <f>IF(A107="","",IF(Einstellungen!$B$15="","",Einstellungen!$B$15-N107))</f>
        <v/>
      </c>
    </row>
    <row r="108" spans="1:15" ht="54" customHeight="1">
      <c r="A108" s="54"/>
      <c r="B108" s="13"/>
      <c r="C108" s="13"/>
      <c r="D108" s="13"/>
      <c r="E108" s="46"/>
      <c r="F108" s="46" t="str">
        <f>IF(A108="","",Einstellungen!$B$5)</f>
        <v/>
      </c>
      <c r="G108" s="47" t="str">
        <f t="shared" si="7"/>
        <v/>
      </c>
      <c r="H108" s="14" t="str">
        <f t="shared" si="8"/>
        <v/>
      </c>
      <c r="I108" s="13" t="str">
        <f t="shared" si="11"/>
        <v/>
      </c>
      <c r="J108" s="13"/>
      <c r="K108" s="13"/>
      <c r="L108" s="59" t="str">
        <f>IF(A108="","",IF(Einstellungen!$B$15="","",MAX(0,MIN(E108,Einstellungen!$B$15-(SUMIFS($E$13:$E108,$H$13:$H108,H108)-E108)))))</f>
        <v/>
      </c>
      <c r="M108" s="59" t="str">
        <f t="shared" si="9"/>
        <v/>
      </c>
      <c r="N108" s="59" t="str">
        <f t="shared" si="10"/>
        <v/>
      </c>
      <c r="O108" s="59" t="str">
        <f>IF(A108="","",IF(Einstellungen!$B$15="","",Einstellungen!$B$15-N108))</f>
        <v/>
      </c>
    </row>
    <row r="109" spans="1:15" ht="54" customHeight="1">
      <c r="A109" s="54"/>
      <c r="B109" s="13"/>
      <c r="C109" s="13"/>
      <c r="D109" s="13"/>
      <c r="E109" s="46"/>
      <c r="F109" s="46" t="str">
        <f>IF(A109="","",Einstellungen!$B$5)</f>
        <v/>
      </c>
      <c r="G109" s="47" t="str">
        <f t="shared" si="7"/>
        <v/>
      </c>
      <c r="H109" s="14" t="str">
        <f t="shared" si="8"/>
        <v/>
      </c>
      <c r="I109" s="13" t="str">
        <f t="shared" si="11"/>
        <v/>
      </c>
      <c r="J109" s="13"/>
      <c r="K109" s="13"/>
      <c r="L109" s="59" t="str">
        <f>IF(A109="","",IF(Einstellungen!$B$15="","",MAX(0,MIN(E109,Einstellungen!$B$15-(SUMIFS($E$13:$E109,$H$13:$H109,H109)-E109)))))</f>
        <v/>
      </c>
      <c r="M109" s="59" t="str">
        <f t="shared" si="9"/>
        <v/>
      </c>
      <c r="N109" s="59" t="str">
        <f t="shared" si="10"/>
        <v/>
      </c>
      <c r="O109" s="59" t="str">
        <f>IF(A109="","",IF(Einstellungen!$B$15="","",Einstellungen!$B$15-N109))</f>
        <v/>
      </c>
    </row>
    <row r="110" spans="1:15" ht="54" customHeight="1">
      <c r="A110" s="54"/>
      <c r="B110" s="13"/>
      <c r="C110" s="13"/>
      <c r="D110" s="13"/>
      <c r="E110" s="46"/>
      <c r="F110" s="46" t="str">
        <f>IF(A110="","",Einstellungen!$B$5)</f>
        <v/>
      </c>
      <c r="G110" s="47" t="str">
        <f t="shared" si="7"/>
        <v/>
      </c>
      <c r="H110" s="14" t="str">
        <f t="shared" si="8"/>
        <v/>
      </c>
      <c r="I110" s="13" t="str">
        <f t="shared" si="11"/>
        <v/>
      </c>
      <c r="J110" s="13"/>
      <c r="K110" s="13"/>
      <c r="L110" s="59" t="str">
        <f>IF(A110="","",IF(Einstellungen!$B$15="","",MAX(0,MIN(E110,Einstellungen!$B$15-(SUMIFS($E$13:$E110,$H$13:$H110,H110)-E110)))))</f>
        <v/>
      </c>
      <c r="M110" s="59" t="str">
        <f t="shared" si="9"/>
        <v/>
      </c>
      <c r="N110" s="59" t="str">
        <f t="shared" si="10"/>
        <v/>
      </c>
      <c r="O110" s="59" t="str">
        <f>IF(A110="","",IF(Einstellungen!$B$15="","",Einstellungen!$B$15-N110))</f>
        <v/>
      </c>
    </row>
    <row r="111" spans="1:15" ht="54" customHeight="1">
      <c r="A111" s="54"/>
      <c r="B111" s="13"/>
      <c r="C111" s="13"/>
      <c r="D111" s="13"/>
      <c r="E111" s="46"/>
      <c r="F111" s="46" t="str">
        <f>IF(A111="","",Einstellungen!$B$5)</f>
        <v/>
      </c>
      <c r="G111" s="47" t="str">
        <f t="shared" si="7"/>
        <v/>
      </c>
      <c r="H111" s="14" t="str">
        <f t="shared" si="8"/>
        <v/>
      </c>
      <c r="I111" s="13" t="str">
        <f t="shared" si="11"/>
        <v/>
      </c>
      <c r="J111" s="13"/>
      <c r="K111" s="13"/>
      <c r="L111" s="59" t="str">
        <f>IF(A111="","",IF(Einstellungen!$B$15="","",MAX(0,MIN(E111,Einstellungen!$B$15-(SUMIFS($E$13:$E111,$H$13:$H111,H111)-E111)))))</f>
        <v/>
      </c>
      <c r="M111" s="59" t="str">
        <f t="shared" si="9"/>
        <v/>
      </c>
      <c r="N111" s="59" t="str">
        <f t="shared" si="10"/>
        <v/>
      </c>
      <c r="O111" s="59" t="str">
        <f>IF(A111="","",IF(Einstellungen!$B$15="","",Einstellungen!$B$15-N111))</f>
        <v/>
      </c>
    </row>
    <row r="112" spans="1:15" ht="54" customHeight="1">
      <c r="A112" s="54"/>
      <c r="B112" s="13"/>
      <c r="C112" s="13"/>
      <c r="D112" s="13"/>
      <c r="E112" s="46"/>
      <c r="F112" s="46" t="str">
        <f>IF(A112="","",Einstellungen!$B$5)</f>
        <v/>
      </c>
      <c r="G112" s="47" t="str">
        <f t="shared" si="7"/>
        <v/>
      </c>
      <c r="H112" s="14" t="str">
        <f t="shared" si="8"/>
        <v/>
      </c>
      <c r="I112" s="13" t="str">
        <f t="shared" si="11"/>
        <v/>
      </c>
      <c r="J112" s="13"/>
      <c r="K112" s="13"/>
      <c r="L112" s="59" t="str">
        <f>IF(A112="","",IF(Einstellungen!$B$15="","",MAX(0,MIN(E112,Einstellungen!$B$15-(SUMIFS($E$13:$E112,$H$13:$H112,H112)-E112)))))</f>
        <v/>
      </c>
      <c r="M112" s="59" t="str">
        <f t="shared" si="9"/>
        <v/>
      </c>
      <c r="N112" s="59" t="str">
        <f t="shared" si="10"/>
        <v/>
      </c>
      <c r="O112" s="59" t="str">
        <f>IF(A112="","",IF(Einstellungen!$B$15="","",Einstellungen!$B$15-N112))</f>
        <v/>
      </c>
    </row>
    <row r="113" spans="1:15" ht="54" customHeight="1">
      <c r="A113" s="54"/>
      <c r="B113" s="13"/>
      <c r="C113" s="13"/>
      <c r="D113" s="13"/>
      <c r="E113" s="46"/>
      <c r="F113" s="46" t="str">
        <f>IF(A113="","",Einstellungen!$B$5)</f>
        <v/>
      </c>
      <c r="G113" s="47" t="str">
        <f t="shared" si="7"/>
        <v/>
      </c>
      <c r="H113" s="14" t="str">
        <f t="shared" si="8"/>
        <v/>
      </c>
      <c r="I113" s="13" t="str">
        <f t="shared" si="11"/>
        <v/>
      </c>
      <c r="J113" s="13"/>
      <c r="K113" s="13"/>
      <c r="L113" s="59" t="str">
        <f>IF(A113="","",IF(Einstellungen!$B$15="","",MAX(0,MIN(E113,Einstellungen!$B$15-(SUMIFS($E$13:$E113,$H$13:$H113,H113)-E113)))))</f>
        <v/>
      </c>
      <c r="M113" s="59" t="str">
        <f t="shared" si="9"/>
        <v/>
      </c>
      <c r="N113" s="59" t="str">
        <f t="shared" si="10"/>
        <v/>
      </c>
      <c r="O113" s="59" t="str">
        <f>IF(A113="","",IF(Einstellungen!$B$15="","",Einstellungen!$B$15-N113))</f>
        <v/>
      </c>
    </row>
    <row r="114" spans="1:15" ht="54" customHeight="1">
      <c r="A114" s="54"/>
      <c r="B114" s="13"/>
      <c r="C114" s="13"/>
      <c r="D114" s="13"/>
      <c r="E114" s="46"/>
      <c r="F114" s="46" t="str">
        <f>IF(A114="","",Einstellungen!$B$5)</f>
        <v/>
      </c>
      <c r="G114" s="47" t="str">
        <f t="shared" si="7"/>
        <v/>
      </c>
      <c r="H114" s="14" t="str">
        <f t="shared" si="8"/>
        <v/>
      </c>
      <c r="I114" s="13" t="str">
        <f t="shared" si="11"/>
        <v/>
      </c>
      <c r="J114" s="13"/>
      <c r="K114" s="13"/>
      <c r="L114" s="59" t="str">
        <f>IF(A114="","",IF(Einstellungen!$B$15="","",MAX(0,MIN(E114,Einstellungen!$B$15-(SUMIFS($E$13:$E114,$H$13:$H114,H114)-E114)))))</f>
        <v/>
      </c>
      <c r="M114" s="59" t="str">
        <f t="shared" si="9"/>
        <v/>
      </c>
      <c r="N114" s="59" t="str">
        <f t="shared" si="10"/>
        <v/>
      </c>
      <c r="O114" s="59" t="str">
        <f>IF(A114="","",IF(Einstellungen!$B$15="","",Einstellungen!$B$15-N114))</f>
        <v/>
      </c>
    </row>
    <row r="115" spans="1:15" ht="54" customHeight="1">
      <c r="A115" s="54"/>
      <c r="B115" s="13"/>
      <c r="C115" s="13"/>
      <c r="D115" s="13"/>
      <c r="E115" s="46"/>
      <c r="F115" s="46" t="str">
        <f>IF(A115="","",Einstellungen!$B$5)</f>
        <v/>
      </c>
      <c r="G115" s="47" t="str">
        <f t="shared" si="7"/>
        <v/>
      </c>
      <c r="H115" s="14" t="str">
        <f t="shared" si="8"/>
        <v/>
      </c>
      <c r="I115" s="13" t="str">
        <f t="shared" si="11"/>
        <v/>
      </c>
      <c r="J115" s="13"/>
      <c r="K115" s="13"/>
      <c r="L115" s="59" t="str">
        <f>IF(A115="","",IF(Einstellungen!$B$15="","",MAX(0,MIN(E115,Einstellungen!$B$15-(SUMIFS($E$13:$E115,$H$13:$H115,H115)-E115)))))</f>
        <v/>
      </c>
      <c r="M115" s="59" t="str">
        <f t="shared" si="9"/>
        <v/>
      </c>
      <c r="N115" s="59" t="str">
        <f t="shared" si="10"/>
        <v/>
      </c>
      <c r="O115" s="59" t="str">
        <f>IF(A115="","",IF(Einstellungen!$B$15="","",Einstellungen!$B$15-N115))</f>
        <v/>
      </c>
    </row>
    <row r="116" spans="1:15" ht="54" customHeight="1">
      <c r="A116" s="54"/>
      <c r="B116" s="13"/>
      <c r="C116" s="13"/>
      <c r="D116" s="13"/>
      <c r="E116" s="46"/>
      <c r="F116" s="46" t="str">
        <f>IF(A116="","",Einstellungen!$B$5)</f>
        <v/>
      </c>
      <c r="G116" s="47" t="str">
        <f t="shared" si="7"/>
        <v/>
      </c>
      <c r="H116" s="14" t="str">
        <f t="shared" si="8"/>
        <v/>
      </c>
      <c r="I116" s="13" t="str">
        <f t="shared" si="11"/>
        <v/>
      </c>
      <c r="J116" s="13"/>
      <c r="K116" s="13"/>
      <c r="L116" s="59" t="str">
        <f>IF(A116="","",IF(Einstellungen!$B$15="","",MAX(0,MIN(E116,Einstellungen!$B$15-(SUMIFS($E$13:$E116,$H$13:$H116,H116)-E116)))))</f>
        <v/>
      </c>
      <c r="M116" s="59" t="str">
        <f t="shared" si="9"/>
        <v/>
      </c>
      <c r="N116" s="59" t="str">
        <f t="shared" si="10"/>
        <v/>
      </c>
      <c r="O116" s="59" t="str">
        <f>IF(A116="","",IF(Einstellungen!$B$15="","",Einstellungen!$B$15-N116))</f>
        <v/>
      </c>
    </row>
    <row r="117" spans="1:15" ht="54" customHeight="1">
      <c r="A117" s="54"/>
      <c r="B117" s="13"/>
      <c r="C117" s="13"/>
      <c r="D117" s="13"/>
      <c r="E117" s="46"/>
      <c r="F117" s="46" t="str">
        <f>IF(A117="","",Einstellungen!$B$5)</f>
        <v/>
      </c>
      <c r="G117" s="47" t="str">
        <f t="shared" si="7"/>
        <v/>
      </c>
      <c r="H117" s="14" t="str">
        <f t="shared" si="8"/>
        <v/>
      </c>
      <c r="I117" s="13" t="str">
        <f t="shared" si="11"/>
        <v/>
      </c>
      <c r="J117" s="13"/>
      <c r="K117" s="13"/>
      <c r="L117" s="59" t="str">
        <f>IF(A117="","",IF(Einstellungen!$B$15="","",MAX(0,MIN(E117,Einstellungen!$B$15-(SUMIFS($E$13:$E117,$H$13:$H117,H117)-E117)))))</f>
        <v/>
      </c>
      <c r="M117" s="59" t="str">
        <f t="shared" si="9"/>
        <v/>
      </c>
      <c r="N117" s="59" t="str">
        <f t="shared" si="10"/>
        <v/>
      </c>
      <c r="O117" s="59" t="str">
        <f>IF(A117="","",IF(Einstellungen!$B$15="","",Einstellungen!$B$15-N117))</f>
        <v/>
      </c>
    </row>
    <row r="118" spans="1:15" ht="54" customHeight="1">
      <c r="A118" s="54"/>
      <c r="B118" s="13"/>
      <c r="C118" s="13"/>
      <c r="D118" s="13"/>
      <c r="E118" s="46"/>
      <c r="F118" s="46" t="str">
        <f>IF(A118="","",Einstellungen!$B$5)</f>
        <v/>
      </c>
      <c r="G118" s="47" t="str">
        <f t="shared" si="7"/>
        <v/>
      </c>
      <c r="H118" s="14" t="str">
        <f t="shared" si="8"/>
        <v/>
      </c>
      <c r="I118" s="13" t="str">
        <f t="shared" si="11"/>
        <v/>
      </c>
      <c r="J118" s="13"/>
      <c r="K118" s="13"/>
      <c r="L118" s="59" t="str">
        <f>IF(A118="","",IF(Einstellungen!$B$15="","",MAX(0,MIN(E118,Einstellungen!$B$15-(SUMIFS($E$13:$E118,$H$13:$H118,H118)-E118)))))</f>
        <v/>
      </c>
      <c r="M118" s="59" t="str">
        <f t="shared" si="9"/>
        <v/>
      </c>
      <c r="N118" s="59" t="str">
        <f t="shared" si="10"/>
        <v/>
      </c>
      <c r="O118" s="59" t="str">
        <f>IF(A118="","",IF(Einstellungen!$B$15="","",Einstellungen!$B$15-N118))</f>
        <v/>
      </c>
    </row>
    <row r="119" spans="1:15" ht="54" customHeight="1">
      <c r="A119" s="54"/>
      <c r="B119" s="13"/>
      <c r="C119" s="13"/>
      <c r="D119" s="13"/>
      <c r="E119" s="46"/>
      <c r="F119" s="46" t="str">
        <f>IF(A119="","",Einstellungen!$B$5)</f>
        <v/>
      </c>
      <c r="G119" s="47" t="str">
        <f t="shared" si="7"/>
        <v/>
      </c>
      <c r="H119" s="14" t="str">
        <f t="shared" si="8"/>
        <v/>
      </c>
      <c r="I119" s="13" t="str">
        <f t="shared" si="11"/>
        <v/>
      </c>
      <c r="J119" s="13"/>
      <c r="K119" s="13"/>
      <c r="L119" s="59" t="str">
        <f>IF(A119="","",IF(Einstellungen!$B$15="","",MAX(0,MIN(E119,Einstellungen!$B$15-(SUMIFS($E$13:$E119,$H$13:$H119,H119)-E119)))))</f>
        <v/>
      </c>
      <c r="M119" s="59" t="str">
        <f t="shared" si="9"/>
        <v/>
      </c>
      <c r="N119" s="59" t="str">
        <f t="shared" si="10"/>
        <v/>
      </c>
      <c r="O119" s="59" t="str">
        <f>IF(A119="","",IF(Einstellungen!$B$15="","",Einstellungen!$B$15-N119))</f>
        <v/>
      </c>
    </row>
    <row r="120" spans="1:15" ht="54" customHeight="1">
      <c r="A120" s="54"/>
      <c r="B120" s="13"/>
      <c r="C120" s="13"/>
      <c r="D120" s="13"/>
      <c r="E120" s="46"/>
      <c r="F120" s="46" t="str">
        <f>IF(A120="","",Einstellungen!$B$5)</f>
        <v/>
      </c>
      <c r="G120" s="47" t="str">
        <f t="shared" si="7"/>
        <v/>
      </c>
      <c r="H120" s="14" t="str">
        <f t="shared" si="8"/>
        <v/>
      </c>
      <c r="I120" s="13" t="str">
        <f t="shared" si="11"/>
        <v/>
      </c>
      <c r="J120" s="13"/>
      <c r="K120" s="13"/>
      <c r="L120" s="59" t="str">
        <f>IF(A120="","",IF(Einstellungen!$B$15="","",MAX(0,MIN(E120,Einstellungen!$B$15-(SUMIFS($E$13:$E120,$H$13:$H120,H120)-E120)))))</f>
        <v/>
      </c>
      <c r="M120" s="59" t="str">
        <f t="shared" si="9"/>
        <v/>
      </c>
      <c r="N120" s="59" t="str">
        <f t="shared" si="10"/>
        <v/>
      </c>
      <c r="O120" s="59" t="str">
        <f>IF(A120="","",IF(Einstellungen!$B$15="","",Einstellungen!$B$15-N120))</f>
        <v/>
      </c>
    </row>
    <row r="121" spans="1:15" ht="54" customHeight="1">
      <c r="A121" s="54"/>
      <c r="B121" s="13"/>
      <c r="C121" s="13"/>
      <c r="D121" s="13"/>
      <c r="E121" s="46"/>
      <c r="F121" s="46" t="str">
        <f>IF(A121="","",Einstellungen!$B$5)</f>
        <v/>
      </c>
      <c r="G121" s="47" t="str">
        <f t="shared" si="7"/>
        <v/>
      </c>
      <c r="H121" s="14" t="str">
        <f t="shared" si="8"/>
        <v/>
      </c>
      <c r="I121" s="13" t="str">
        <f t="shared" si="11"/>
        <v/>
      </c>
      <c r="J121" s="13"/>
      <c r="K121" s="13"/>
      <c r="L121" s="59" t="str">
        <f>IF(A121="","",IF(Einstellungen!$B$15="","",MAX(0,MIN(E121,Einstellungen!$B$15-(SUMIFS($E$13:$E121,$H$13:$H121,H121)-E121)))))</f>
        <v/>
      </c>
      <c r="M121" s="59" t="str">
        <f t="shared" si="9"/>
        <v/>
      </c>
      <c r="N121" s="59" t="str">
        <f t="shared" si="10"/>
        <v/>
      </c>
      <c r="O121" s="59" t="str">
        <f>IF(A121="","",IF(Einstellungen!$B$15="","",Einstellungen!$B$15-N121))</f>
        <v/>
      </c>
    </row>
    <row r="122" spans="1:15" ht="54" customHeight="1">
      <c r="A122" s="54"/>
      <c r="B122" s="13"/>
      <c r="C122" s="13"/>
      <c r="D122" s="13"/>
      <c r="E122" s="46"/>
      <c r="F122" s="46" t="str">
        <f>IF(A122="","",Einstellungen!$B$5)</f>
        <v/>
      </c>
      <c r="G122" s="47" t="str">
        <f t="shared" si="7"/>
        <v/>
      </c>
      <c r="H122" s="14" t="str">
        <f t="shared" si="8"/>
        <v/>
      </c>
      <c r="I122" s="13" t="str">
        <f t="shared" si="11"/>
        <v/>
      </c>
      <c r="J122" s="13"/>
      <c r="K122" s="13"/>
      <c r="L122" s="59" t="str">
        <f>IF(A122="","",IF(Einstellungen!$B$15="","",MAX(0,MIN(E122,Einstellungen!$B$15-(SUMIFS($E$13:$E122,$H$13:$H122,H122)-E122)))))</f>
        <v/>
      </c>
      <c r="M122" s="59" t="str">
        <f t="shared" si="9"/>
        <v/>
      </c>
      <c r="N122" s="59" t="str">
        <f t="shared" si="10"/>
        <v/>
      </c>
      <c r="O122" s="59" t="str">
        <f>IF(A122="","",IF(Einstellungen!$B$15="","",Einstellungen!$B$15-N122))</f>
        <v/>
      </c>
    </row>
    <row r="123" spans="1:15" ht="54" customHeight="1">
      <c r="A123" s="54"/>
      <c r="B123" s="13"/>
      <c r="C123" s="13"/>
      <c r="D123" s="13"/>
      <c r="E123" s="46"/>
      <c r="F123" s="46" t="str">
        <f>IF(A123="","",Einstellungen!$B$5)</f>
        <v/>
      </c>
      <c r="G123" s="47" t="str">
        <f t="shared" si="7"/>
        <v/>
      </c>
      <c r="H123" s="14" t="str">
        <f t="shared" si="8"/>
        <v/>
      </c>
      <c r="I123" s="13" t="str">
        <f t="shared" si="11"/>
        <v/>
      </c>
      <c r="J123" s="13"/>
      <c r="K123" s="13"/>
      <c r="L123" s="59" t="str">
        <f>IF(A123="","",IF(Einstellungen!$B$15="","",MAX(0,MIN(E123,Einstellungen!$B$15-(SUMIFS($E$13:$E123,$H$13:$H123,H123)-E123)))))</f>
        <v/>
      </c>
      <c r="M123" s="59" t="str">
        <f t="shared" si="9"/>
        <v/>
      </c>
      <c r="N123" s="59" t="str">
        <f t="shared" si="10"/>
        <v/>
      </c>
      <c r="O123" s="59" t="str">
        <f>IF(A123="","",IF(Einstellungen!$B$15="","",Einstellungen!$B$15-N123))</f>
        <v/>
      </c>
    </row>
    <row r="124" spans="1:15" ht="54" customHeight="1">
      <c r="A124" s="54"/>
      <c r="B124" s="13"/>
      <c r="C124" s="13"/>
      <c r="D124" s="13"/>
      <c r="E124" s="46"/>
      <c r="F124" s="46" t="str">
        <f>IF(A124="","",Einstellungen!$B$5)</f>
        <v/>
      </c>
      <c r="G124" s="47" t="str">
        <f t="shared" si="7"/>
        <v/>
      </c>
      <c r="H124" s="14" t="str">
        <f t="shared" si="8"/>
        <v/>
      </c>
      <c r="I124" s="13" t="str">
        <f t="shared" si="11"/>
        <v/>
      </c>
      <c r="J124" s="13"/>
      <c r="K124" s="13"/>
      <c r="L124" s="59" t="str">
        <f>IF(A124="","",IF(Einstellungen!$B$15="","",MAX(0,MIN(E124,Einstellungen!$B$15-(SUMIFS($E$13:$E124,$H$13:$H124,H124)-E124)))))</f>
        <v/>
      </c>
      <c r="M124" s="59" t="str">
        <f t="shared" si="9"/>
        <v/>
      </c>
      <c r="N124" s="59" t="str">
        <f t="shared" si="10"/>
        <v/>
      </c>
      <c r="O124" s="59" t="str">
        <f>IF(A124="","",IF(Einstellungen!$B$15="","",Einstellungen!$B$15-N124))</f>
        <v/>
      </c>
    </row>
    <row r="125" spans="1:15" ht="54" customHeight="1">
      <c r="A125" s="54"/>
      <c r="B125" s="13"/>
      <c r="C125" s="13"/>
      <c r="D125" s="13"/>
      <c r="E125" s="46"/>
      <c r="F125" s="46" t="str">
        <f>IF(A125="","",Einstellungen!$B$5)</f>
        <v/>
      </c>
      <c r="G125" s="47" t="str">
        <f t="shared" si="7"/>
        <v/>
      </c>
      <c r="H125" s="14" t="str">
        <f t="shared" si="8"/>
        <v/>
      </c>
      <c r="I125" s="13" t="str">
        <f t="shared" si="11"/>
        <v/>
      </c>
      <c r="J125" s="13"/>
      <c r="K125" s="13"/>
      <c r="L125" s="59" t="str">
        <f>IF(A125="","",IF(Einstellungen!$B$15="","",MAX(0,MIN(E125,Einstellungen!$B$15-(SUMIFS($E$13:$E125,$H$13:$H125,H125)-E125)))))</f>
        <v/>
      </c>
      <c r="M125" s="59" t="str">
        <f t="shared" si="9"/>
        <v/>
      </c>
      <c r="N125" s="59" t="str">
        <f t="shared" si="10"/>
        <v/>
      </c>
      <c r="O125" s="59" t="str">
        <f>IF(A125="","",IF(Einstellungen!$B$15="","",Einstellungen!$B$15-N125))</f>
        <v/>
      </c>
    </row>
    <row r="126" spans="1:15" ht="54" customHeight="1">
      <c r="A126" s="54"/>
      <c r="B126" s="13"/>
      <c r="C126" s="13"/>
      <c r="D126" s="13"/>
      <c r="E126" s="46"/>
      <c r="F126" s="46" t="str">
        <f>IF(A126="","",Einstellungen!$B$5)</f>
        <v/>
      </c>
      <c r="G126" s="47" t="str">
        <f t="shared" si="7"/>
        <v/>
      </c>
      <c r="H126" s="14" t="str">
        <f t="shared" si="8"/>
        <v/>
      </c>
      <c r="I126" s="13" t="str">
        <f t="shared" si="11"/>
        <v/>
      </c>
      <c r="J126" s="13"/>
      <c r="K126" s="13"/>
      <c r="L126" s="59" t="str">
        <f>IF(A126="","",IF(Einstellungen!$B$15="","",MAX(0,MIN(E126,Einstellungen!$B$15-(SUMIFS($E$13:$E126,$H$13:$H126,H126)-E126)))))</f>
        <v/>
      </c>
      <c r="M126" s="59" t="str">
        <f t="shared" si="9"/>
        <v/>
      </c>
      <c r="N126" s="59" t="str">
        <f t="shared" si="10"/>
        <v/>
      </c>
      <c r="O126" s="59" t="str">
        <f>IF(A126="","",IF(Einstellungen!$B$15="","",Einstellungen!$B$15-N126))</f>
        <v/>
      </c>
    </row>
    <row r="127" spans="1:15" ht="54" customHeight="1">
      <c r="A127" s="54"/>
      <c r="B127" s="13"/>
      <c r="C127" s="13"/>
      <c r="D127" s="13"/>
      <c r="E127" s="46"/>
      <c r="F127" s="46" t="str">
        <f>IF(A127="","",Einstellungen!$B$5)</f>
        <v/>
      </c>
      <c r="G127" s="47" t="str">
        <f t="shared" si="7"/>
        <v/>
      </c>
      <c r="H127" s="14" t="str">
        <f t="shared" si="8"/>
        <v/>
      </c>
      <c r="I127" s="13" t="str">
        <f t="shared" si="11"/>
        <v/>
      </c>
      <c r="J127" s="13"/>
      <c r="K127" s="13"/>
      <c r="L127" s="59" t="str">
        <f>IF(A127="","",IF(Einstellungen!$B$15="","",MAX(0,MIN(E127,Einstellungen!$B$15-(SUMIFS($E$13:$E127,$H$13:$H127,H127)-E127)))))</f>
        <v/>
      </c>
      <c r="M127" s="59" t="str">
        <f t="shared" si="9"/>
        <v/>
      </c>
      <c r="N127" s="59" t="str">
        <f t="shared" si="10"/>
        <v/>
      </c>
      <c r="O127" s="59" t="str">
        <f>IF(A127="","",IF(Einstellungen!$B$15="","",Einstellungen!$B$15-N127))</f>
        <v/>
      </c>
    </row>
    <row r="128" spans="1:15" ht="54" customHeight="1">
      <c r="A128" s="54"/>
      <c r="B128" s="13"/>
      <c r="C128" s="13"/>
      <c r="D128" s="13"/>
      <c r="E128" s="46"/>
      <c r="F128" s="46" t="str">
        <f>IF(A128="","",Einstellungen!$B$5)</f>
        <v/>
      </c>
      <c r="G128" s="47" t="str">
        <f t="shared" si="7"/>
        <v/>
      </c>
      <c r="H128" s="14" t="str">
        <f t="shared" si="8"/>
        <v/>
      </c>
      <c r="I128" s="13" t="str">
        <f t="shared" si="11"/>
        <v/>
      </c>
      <c r="J128" s="13"/>
      <c r="K128" s="13"/>
      <c r="L128" s="59" t="str">
        <f>IF(A128="","",IF(Einstellungen!$B$15="","",MAX(0,MIN(E128,Einstellungen!$B$15-(SUMIFS($E$13:$E128,$H$13:$H128,H128)-E128)))))</f>
        <v/>
      </c>
      <c r="M128" s="59" t="str">
        <f t="shared" si="9"/>
        <v/>
      </c>
      <c r="N128" s="59" t="str">
        <f t="shared" si="10"/>
        <v/>
      </c>
      <c r="O128" s="59" t="str">
        <f>IF(A128="","",IF(Einstellungen!$B$15="","",Einstellungen!$B$15-N128))</f>
        <v/>
      </c>
    </row>
    <row r="129" spans="1:15" ht="54" customHeight="1">
      <c r="A129" s="54"/>
      <c r="B129" s="13"/>
      <c r="C129" s="13"/>
      <c r="D129" s="13"/>
      <c r="E129" s="46"/>
      <c r="F129" s="46" t="str">
        <f>IF(A129="","",Einstellungen!$B$5)</f>
        <v/>
      </c>
      <c r="G129" s="47" t="str">
        <f t="shared" si="7"/>
        <v/>
      </c>
      <c r="H129" s="14" t="str">
        <f t="shared" si="8"/>
        <v/>
      </c>
      <c r="I129" s="13" t="str">
        <f t="shared" si="11"/>
        <v/>
      </c>
      <c r="J129" s="13"/>
      <c r="K129" s="13"/>
      <c r="L129" s="59" t="str">
        <f>IF(A129="","",IF(Einstellungen!$B$15="","",MAX(0,MIN(E129,Einstellungen!$B$15-(SUMIFS($E$13:$E129,$H$13:$H129,H129)-E129)))))</f>
        <v/>
      </c>
      <c r="M129" s="59" t="str">
        <f t="shared" si="9"/>
        <v/>
      </c>
      <c r="N129" s="59" t="str">
        <f t="shared" si="10"/>
        <v/>
      </c>
      <c r="O129" s="59" t="str">
        <f>IF(A129="","",IF(Einstellungen!$B$15="","",Einstellungen!$B$15-N129))</f>
        <v/>
      </c>
    </row>
    <row r="130" spans="1:15" ht="54" customHeight="1">
      <c r="A130" s="54"/>
      <c r="B130" s="13"/>
      <c r="C130" s="13"/>
      <c r="D130" s="13"/>
      <c r="E130" s="46"/>
      <c r="F130" s="46" t="str">
        <f>IF(A130="","",Einstellungen!$B$5)</f>
        <v/>
      </c>
      <c r="G130" s="47" t="str">
        <f t="shared" si="7"/>
        <v/>
      </c>
      <c r="H130" s="14" t="str">
        <f t="shared" si="8"/>
        <v/>
      </c>
      <c r="I130" s="13" t="str">
        <f t="shared" si="11"/>
        <v/>
      </c>
      <c r="J130" s="13"/>
      <c r="K130" s="13"/>
      <c r="L130" s="59" t="str">
        <f>IF(A130="","",IF(Einstellungen!$B$15="","",MAX(0,MIN(E130,Einstellungen!$B$15-(SUMIFS($E$13:$E130,$H$13:$H130,H130)-E130)))))</f>
        <v/>
      </c>
      <c r="M130" s="59" t="str">
        <f t="shared" si="9"/>
        <v/>
      </c>
      <c r="N130" s="59" t="str">
        <f t="shared" si="10"/>
        <v/>
      </c>
      <c r="O130" s="59" t="str">
        <f>IF(A130="","",IF(Einstellungen!$B$15="","",Einstellungen!$B$15-N130))</f>
        <v/>
      </c>
    </row>
    <row r="131" spans="1:15" ht="54" customHeight="1">
      <c r="A131" s="54"/>
      <c r="B131" s="13"/>
      <c r="C131" s="13"/>
      <c r="D131" s="13"/>
      <c r="E131" s="46"/>
      <c r="F131" s="46" t="str">
        <f>IF(A131="","",Einstellungen!$B$5)</f>
        <v/>
      </c>
      <c r="G131" s="47" t="str">
        <f t="shared" si="7"/>
        <v/>
      </c>
      <c r="H131" s="14" t="str">
        <f t="shared" si="8"/>
        <v/>
      </c>
      <c r="I131" s="13" t="str">
        <f t="shared" ref="I131:I162" si="12">IF(A131="","",TEXT(A131,"[$-de-DE]MMMM YYYY"))</f>
        <v/>
      </c>
      <c r="J131" s="13"/>
      <c r="K131" s="13"/>
      <c r="L131" s="59" t="str">
        <f>IF(A131="","",IF(Einstellungen!$B$15="","",MAX(0,MIN(E131,Einstellungen!$B$15-(SUMIFS($E$13:$E131,$H$13:$H131,H131)-E131)))))</f>
        <v/>
      </c>
      <c r="M131" s="59" t="str">
        <f t="shared" si="9"/>
        <v/>
      </c>
      <c r="N131" s="59" t="str">
        <f t="shared" si="10"/>
        <v/>
      </c>
      <c r="O131" s="59" t="str">
        <f>IF(A131="","",IF(Einstellungen!$B$15="","",Einstellungen!$B$15-N131))</f>
        <v/>
      </c>
    </row>
    <row r="132" spans="1:15" ht="54" customHeight="1">
      <c r="A132" s="54"/>
      <c r="B132" s="13"/>
      <c r="C132" s="13"/>
      <c r="D132" s="13"/>
      <c r="E132" s="46"/>
      <c r="F132" s="46" t="str">
        <f>IF(A132="","",Einstellungen!$B$5)</f>
        <v/>
      </c>
      <c r="G132" s="47" t="str">
        <f t="shared" si="7"/>
        <v/>
      </c>
      <c r="H132" s="14" t="str">
        <f t="shared" si="8"/>
        <v/>
      </c>
      <c r="I132" s="13" t="str">
        <f t="shared" si="12"/>
        <v/>
      </c>
      <c r="J132" s="13"/>
      <c r="K132" s="13"/>
      <c r="L132" s="59" t="str">
        <f>IF(A132="","",IF(Einstellungen!$B$15="","",MAX(0,MIN(E132,Einstellungen!$B$15-(SUMIFS($E$13:$E132,$H$13:$H132,H132)-E132)))))</f>
        <v/>
      </c>
      <c r="M132" s="59" t="str">
        <f t="shared" si="9"/>
        <v/>
      </c>
      <c r="N132" s="59" t="str">
        <f t="shared" si="10"/>
        <v/>
      </c>
      <c r="O132" s="59" t="str">
        <f>IF(A132="","",IF(Einstellungen!$B$15="","",Einstellungen!$B$15-N132))</f>
        <v/>
      </c>
    </row>
    <row r="133" spans="1:15" ht="54" customHeight="1">
      <c r="A133" s="54"/>
      <c r="B133" s="13"/>
      <c r="C133" s="13"/>
      <c r="D133" s="13"/>
      <c r="E133" s="46"/>
      <c r="F133" s="46" t="str">
        <f>IF(A133="","",Einstellungen!$B$5)</f>
        <v/>
      </c>
      <c r="G133" s="47" t="str">
        <f t="shared" si="7"/>
        <v/>
      </c>
      <c r="H133" s="14" t="str">
        <f t="shared" si="8"/>
        <v/>
      </c>
      <c r="I133" s="13" t="str">
        <f t="shared" si="12"/>
        <v/>
      </c>
      <c r="J133" s="13"/>
      <c r="K133" s="13"/>
      <c r="L133" s="59" t="str">
        <f>IF(A133="","",IF(Einstellungen!$B$15="","",MAX(0,MIN(E133,Einstellungen!$B$15-(SUMIFS($E$13:$E133,$H$13:$H133,H133)-E133)))))</f>
        <v/>
      </c>
      <c r="M133" s="59" t="str">
        <f t="shared" si="9"/>
        <v/>
      </c>
      <c r="N133" s="59" t="str">
        <f t="shared" si="10"/>
        <v/>
      </c>
      <c r="O133" s="59" t="str">
        <f>IF(A133="","",IF(Einstellungen!$B$15="","",Einstellungen!$B$15-N133))</f>
        <v/>
      </c>
    </row>
    <row r="134" spans="1:15" ht="54" customHeight="1">
      <c r="A134" s="54"/>
      <c r="B134" s="13"/>
      <c r="C134" s="13"/>
      <c r="D134" s="13"/>
      <c r="E134" s="46"/>
      <c r="F134" s="46" t="str">
        <f>IF(A134="","",Einstellungen!$B$5)</f>
        <v/>
      </c>
      <c r="G134" s="47" t="str">
        <f t="shared" si="7"/>
        <v/>
      </c>
      <c r="H134" s="14" t="str">
        <f t="shared" si="8"/>
        <v/>
      </c>
      <c r="I134" s="13" t="str">
        <f t="shared" si="12"/>
        <v/>
      </c>
      <c r="J134" s="13"/>
      <c r="K134" s="13"/>
      <c r="L134" s="59" t="str">
        <f>IF(A134="","",IF(Einstellungen!$B$15="","",MAX(0,MIN(E134,Einstellungen!$B$15-(SUMIFS($E$13:$E134,$H$13:$H134,H134)-E134)))))</f>
        <v/>
      </c>
      <c r="M134" s="59" t="str">
        <f t="shared" si="9"/>
        <v/>
      </c>
      <c r="N134" s="59" t="str">
        <f t="shared" si="10"/>
        <v/>
      </c>
      <c r="O134" s="59" t="str">
        <f>IF(A134="","",IF(Einstellungen!$B$15="","",Einstellungen!$B$15-N134))</f>
        <v/>
      </c>
    </row>
    <row r="135" spans="1:15" ht="54" customHeight="1">
      <c r="A135" s="54"/>
      <c r="B135" s="13"/>
      <c r="C135" s="13"/>
      <c r="D135" s="13"/>
      <c r="E135" s="46"/>
      <c r="F135" s="46" t="str">
        <f>IF(A135="","",Einstellungen!$B$5)</f>
        <v/>
      </c>
      <c r="G135" s="47" t="str">
        <f t="shared" si="7"/>
        <v/>
      </c>
      <c r="H135" s="14" t="str">
        <f t="shared" si="8"/>
        <v/>
      </c>
      <c r="I135" s="13" t="str">
        <f t="shared" si="12"/>
        <v/>
      </c>
      <c r="J135" s="13"/>
      <c r="K135" s="13"/>
      <c r="L135" s="59" t="str">
        <f>IF(A135="","",IF(Einstellungen!$B$15="","",MAX(0,MIN(E135,Einstellungen!$B$15-(SUMIFS($E$13:$E135,$H$13:$H135,H135)-E135)))))</f>
        <v/>
      </c>
      <c r="M135" s="59" t="str">
        <f t="shared" si="9"/>
        <v/>
      </c>
      <c r="N135" s="59" t="str">
        <f t="shared" si="10"/>
        <v/>
      </c>
      <c r="O135" s="59" t="str">
        <f>IF(A135="","",IF(Einstellungen!$B$15="","",Einstellungen!$B$15-N135))</f>
        <v/>
      </c>
    </row>
    <row r="136" spans="1:15" ht="54" customHeight="1">
      <c r="A136" s="54"/>
      <c r="B136" s="13"/>
      <c r="C136" s="13"/>
      <c r="D136" s="13"/>
      <c r="E136" s="46"/>
      <c r="F136" s="46" t="str">
        <f>IF(A136="","",Einstellungen!$B$5)</f>
        <v/>
      </c>
      <c r="G136" s="47" t="str">
        <f t="shared" si="7"/>
        <v/>
      </c>
      <c r="H136" s="14" t="str">
        <f t="shared" si="8"/>
        <v/>
      </c>
      <c r="I136" s="13" t="str">
        <f t="shared" si="12"/>
        <v/>
      </c>
      <c r="J136" s="13"/>
      <c r="K136" s="13"/>
      <c r="L136" s="59" t="str">
        <f>IF(A136="","",IF(Einstellungen!$B$15="","",MAX(0,MIN(E136,Einstellungen!$B$15-(SUMIFS($E$13:$E136,$H$13:$H136,H136)-E136)))))</f>
        <v/>
      </c>
      <c r="M136" s="59" t="str">
        <f t="shared" si="9"/>
        <v/>
      </c>
      <c r="N136" s="59" t="str">
        <f t="shared" si="10"/>
        <v/>
      </c>
      <c r="O136" s="59" t="str">
        <f>IF(A136="","",IF(Einstellungen!$B$15="","",Einstellungen!$B$15-N136))</f>
        <v/>
      </c>
    </row>
    <row r="137" spans="1:15" ht="54" customHeight="1">
      <c r="A137" s="54"/>
      <c r="B137" s="13"/>
      <c r="C137" s="13"/>
      <c r="D137" s="13"/>
      <c r="E137" s="46"/>
      <c r="F137" s="46" t="str">
        <f>IF(A137="","",Einstellungen!$B$5)</f>
        <v/>
      </c>
      <c r="G137" s="47" t="str">
        <f t="shared" si="7"/>
        <v/>
      </c>
      <c r="H137" s="14" t="str">
        <f t="shared" si="8"/>
        <v/>
      </c>
      <c r="I137" s="13" t="str">
        <f t="shared" si="12"/>
        <v/>
      </c>
      <c r="J137" s="13"/>
      <c r="K137" s="13"/>
      <c r="L137" s="59" t="str">
        <f>IF(A137="","",IF(Einstellungen!$B$15="","",MAX(0,MIN(E137,Einstellungen!$B$15-(SUMIFS($E$13:$E137,$H$13:$H137,H137)-E137)))))</f>
        <v/>
      </c>
      <c r="M137" s="59" t="str">
        <f t="shared" si="9"/>
        <v/>
      </c>
      <c r="N137" s="59" t="str">
        <f t="shared" si="10"/>
        <v/>
      </c>
      <c r="O137" s="59" t="str">
        <f>IF(A137="","",IF(Einstellungen!$B$15="","",Einstellungen!$B$15-N137))</f>
        <v/>
      </c>
    </row>
    <row r="138" spans="1:15" ht="54" customHeight="1">
      <c r="A138" s="54"/>
      <c r="B138" s="13"/>
      <c r="C138" s="13"/>
      <c r="D138" s="13"/>
      <c r="E138" s="46"/>
      <c r="F138" s="46" t="str">
        <f>IF(A138="","",Einstellungen!$B$5)</f>
        <v/>
      </c>
      <c r="G138" s="47" t="str">
        <f t="shared" si="7"/>
        <v/>
      </c>
      <c r="H138" s="14" t="str">
        <f t="shared" si="8"/>
        <v/>
      </c>
      <c r="I138" s="13" t="str">
        <f t="shared" si="12"/>
        <v/>
      </c>
      <c r="J138" s="13"/>
      <c r="K138" s="13"/>
      <c r="L138" s="59" t="str">
        <f>IF(A138="","",IF(Einstellungen!$B$15="","",MAX(0,MIN(E138,Einstellungen!$B$15-(SUMIFS($E$13:$E138,$H$13:$H138,H138)-E138)))))</f>
        <v/>
      </c>
      <c r="M138" s="59" t="str">
        <f t="shared" si="9"/>
        <v/>
      </c>
      <c r="N138" s="59" t="str">
        <f t="shared" si="10"/>
        <v/>
      </c>
      <c r="O138" s="59" t="str">
        <f>IF(A138="","",IF(Einstellungen!$B$15="","",Einstellungen!$B$15-N138))</f>
        <v/>
      </c>
    </row>
    <row r="139" spans="1:15" ht="54" customHeight="1">
      <c r="A139" s="54"/>
      <c r="B139" s="13"/>
      <c r="C139" s="13"/>
      <c r="D139" s="13"/>
      <c r="E139" s="46"/>
      <c r="F139" s="46" t="str">
        <f>IF(A139="","",Einstellungen!$B$5)</f>
        <v/>
      </c>
      <c r="G139" s="47" t="str">
        <f t="shared" si="7"/>
        <v/>
      </c>
      <c r="H139" s="14" t="str">
        <f t="shared" si="8"/>
        <v/>
      </c>
      <c r="I139" s="13" t="str">
        <f t="shared" si="12"/>
        <v/>
      </c>
      <c r="J139" s="13"/>
      <c r="K139" s="13"/>
      <c r="L139" s="59" t="str">
        <f>IF(A139="","",IF(Einstellungen!$B$15="","",MAX(0,MIN(E139,Einstellungen!$B$15-(SUMIFS($E$13:$E139,$H$13:$H139,H139)-E139)))))</f>
        <v/>
      </c>
      <c r="M139" s="59" t="str">
        <f t="shared" si="9"/>
        <v/>
      </c>
      <c r="N139" s="59" t="str">
        <f t="shared" si="10"/>
        <v/>
      </c>
      <c r="O139" s="59" t="str">
        <f>IF(A139="","",IF(Einstellungen!$B$15="","",Einstellungen!$B$15-N139))</f>
        <v/>
      </c>
    </row>
    <row r="140" spans="1:15" ht="54" customHeight="1">
      <c r="A140" s="54"/>
      <c r="B140" s="13"/>
      <c r="C140" s="13"/>
      <c r="D140" s="13"/>
      <c r="E140" s="46"/>
      <c r="F140" s="46" t="str">
        <f>IF(A140="","",Einstellungen!$B$5)</f>
        <v/>
      </c>
      <c r="G140" s="47" t="str">
        <f t="shared" si="7"/>
        <v/>
      </c>
      <c r="H140" s="14" t="str">
        <f t="shared" si="8"/>
        <v/>
      </c>
      <c r="I140" s="13" t="str">
        <f t="shared" si="12"/>
        <v/>
      </c>
      <c r="J140" s="13"/>
      <c r="K140" s="13"/>
      <c r="L140" s="59" t="str">
        <f>IF(A140="","",IF(Einstellungen!$B$15="","",MAX(0,MIN(E140,Einstellungen!$B$15-(SUMIFS($E$13:$E140,$H$13:$H140,H140)-E140)))))</f>
        <v/>
      </c>
      <c r="M140" s="59" t="str">
        <f t="shared" si="9"/>
        <v/>
      </c>
      <c r="N140" s="59" t="str">
        <f t="shared" si="10"/>
        <v/>
      </c>
      <c r="O140" s="59" t="str">
        <f>IF(A140="","",IF(Einstellungen!$B$15="","",Einstellungen!$B$15-N140))</f>
        <v/>
      </c>
    </row>
    <row r="141" spans="1:15" ht="54" customHeight="1">
      <c r="A141" s="54"/>
      <c r="B141" s="13"/>
      <c r="C141" s="13"/>
      <c r="D141" s="13"/>
      <c r="E141" s="46"/>
      <c r="F141" s="46" t="str">
        <f>IF(A141="","",Einstellungen!$B$5)</f>
        <v/>
      </c>
      <c r="G141" s="47" t="str">
        <f t="shared" ref="G141:G204" si="13">IF(A141="","",L141*F141)</f>
        <v/>
      </c>
      <c r="H141" s="14" t="str">
        <f t="shared" ref="H141:H204" si="14">IF(A141="","",WEEKNUM(A141,21))</f>
        <v/>
      </c>
      <c r="I141" s="13" t="str">
        <f t="shared" si="12"/>
        <v/>
      </c>
      <c r="J141" s="13"/>
      <c r="K141" s="13"/>
      <c r="L141" s="59" t="str">
        <f>IF(A141="","",IF(Einstellungen!$B$15="","",MAX(0,MIN(E141,Einstellungen!$B$15-(SUMIFS($E$13:$E141,$H$13:$H141,H141)-E141)))))</f>
        <v/>
      </c>
      <c r="M141" s="59" t="str">
        <f t="shared" ref="M141:M204" si="15">IF(A141="","",IF(L141="","",E141-L141))</f>
        <v/>
      </c>
      <c r="N141" s="59" t="str">
        <f t="shared" ref="N141:N204" si="16">IF(A141="","",SUMIFS($E$13:$E$214,$H$13:$H$214,H141))</f>
        <v/>
      </c>
      <c r="O141" s="59" t="str">
        <f>IF(A141="","",IF(Einstellungen!$B$15="","",Einstellungen!$B$15-N141))</f>
        <v/>
      </c>
    </row>
    <row r="142" spans="1:15" ht="54" customHeight="1">
      <c r="A142" s="54"/>
      <c r="B142" s="13"/>
      <c r="C142" s="13"/>
      <c r="D142" s="13"/>
      <c r="E142" s="46"/>
      <c r="F142" s="46" t="str">
        <f>IF(A142="","",Einstellungen!$B$5)</f>
        <v/>
      </c>
      <c r="G142" s="47" t="str">
        <f t="shared" si="13"/>
        <v/>
      </c>
      <c r="H142" s="14" t="str">
        <f t="shared" si="14"/>
        <v/>
      </c>
      <c r="I142" s="13" t="str">
        <f t="shared" si="12"/>
        <v/>
      </c>
      <c r="J142" s="13"/>
      <c r="K142" s="13"/>
      <c r="L142" s="59" t="str">
        <f>IF(A142="","",IF(Einstellungen!$B$15="","",MAX(0,MIN(E142,Einstellungen!$B$15-(SUMIFS($E$13:$E142,$H$13:$H142,H142)-E142)))))</f>
        <v/>
      </c>
      <c r="M142" s="59" t="str">
        <f t="shared" si="15"/>
        <v/>
      </c>
      <c r="N142" s="59" t="str">
        <f t="shared" si="16"/>
        <v/>
      </c>
      <c r="O142" s="59" t="str">
        <f>IF(A142="","",IF(Einstellungen!$B$15="","",Einstellungen!$B$15-N142))</f>
        <v/>
      </c>
    </row>
    <row r="143" spans="1:15" ht="54" customHeight="1">
      <c r="A143" s="54"/>
      <c r="B143" s="13"/>
      <c r="C143" s="13"/>
      <c r="D143" s="13"/>
      <c r="E143" s="46"/>
      <c r="F143" s="46" t="str">
        <f>IF(A143="","",Einstellungen!$B$5)</f>
        <v/>
      </c>
      <c r="G143" s="47" t="str">
        <f t="shared" si="13"/>
        <v/>
      </c>
      <c r="H143" s="14" t="str">
        <f t="shared" si="14"/>
        <v/>
      </c>
      <c r="I143" s="13" t="str">
        <f t="shared" si="12"/>
        <v/>
      </c>
      <c r="J143" s="13"/>
      <c r="K143" s="13"/>
      <c r="L143" s="59" t="str">
        <f>IF(A143="","",IF(Einstellungen!$B$15="","",MAX(0,MIN(E143,Einstellungen!$B$15-(SUMIFS($E$13:$E143,$H$13:$H143,H143)-E143)))))</f>
        <v/>
      </c>
      <c r="M143" s="59" t="str">
        <f t="shared" si="15"/>
        <v/>
      </c>
      <c r="N143" s="59" t="str">
        <f t="shared" si="16"/>
        <v/>
      </c>
      <c r="O143" s="59" t="str">
        <f>IF(A143="","",IF(Einstellungen!$B$15="","",Einstellungen!$B$15-N143))</f>
        <v/>
      </c>
    </row>
    <row r="144" spans="1:15" ht="54" customHeight="1">
      <c r="A144" s="54"/>
      <c r="B144" s="13"/>
      <c r="C144" s="13"/>
      <c r="D144" s="13"/>
      <c r="E144" s="46"/>
      <c r="F144" s="46" t="str">
        <f>IF(A144="","",Einstellungen!$B$5)</f>
        <v/>
      </c>
      <c r="G144" s="47" t="str">
        <f t="shared" si="13"/>
        <v/>
      </c>
      <c r="H144" s="14" t="str">
        <f t="shared" si="14"/>
        <v/>
      </c>
      <c r="I144" s="13" t="str">
        <f t="shared" si="12"/>
        <v/>
      </c>
      <c r="J144" s="13"/>
      <c r="K144" s="13"/>
      <c r="L144" s="59" t="str">
        <f>IF(A144="","",IF(Einstellungen!$B$15="","",MAX(0,MIN(E144,Einstellungen!$B$15-(SUMIFS($E$13:$E144,$H$13:$H144,H144)-E144)))))</f>
        <v/>
      </c>
      <c r="M144" s="59" t="str">
        <f t="shared" si="15"/>
        <v/>
      </c>
      <c r="N144" s="59" t="str">
        <f t="shared" si="16"/>
        <v/>
      </c>
      <c r="O144" s="59" t="str">
        <f>IF(A144="","",IF(Einstellungen!$B$15="","",Einstellungen!$B$15-N144))</f>
        <v/>
      </c>
    </row>
    <row r="145" spans="1:15" ht="54" customHeight="1">
      <c r="A145" s="54"/>
      <c r="B145" s="13"/>
      <c r="C145" s="13"/>
      <c r="D145" s="13"/>
      <c r="E145" s="46"/>
      <c r="F145" s="46" t="str">
        <f>IF(A145="","",Einstellungen!$B$5)</f>
        <v/>
      </c>
      <c r="G145" s="47" t="str">
        <f t="shared" si="13"/>
        <v/>
      </c>
      <c r="H145" s="14" t="str">
        <f t="shared" si="14"/>
        <v/>
      </c>
      <c r="I145" s="13" t="str">
        <f t="shared" si="12"/>
        <v/>
      </c>
      <c r="J145" s="13"/>
      <c r="K145" s="13"/>
      <c r="L145" s="59" t="str">
        <f>IF(A145="","",IF(Einstellungen!$B$15="","",MAX(0,MIN(E145,Einstellungen!$B$15-(SUMIFS($E$13:$E145,$H$13:$H145,H145)-E145)))))</f>
        <v/>
      </c>
      <c r="M145" s="59" t="str">
        <f t="shared" si="15"/>
        <v/>
      </c>
      <c r="N145" s="59" t="str">
        <f t="shared" si="16"/>
        <v/>
      </c>
      <c r="O145" s="59" t="str">
        <f>IF(A145="","",IF(Einstellungen!$B$15="","",Einstellungen!$B$15-N145))</f>
        <v/>
      </c>
    </row>
    <row r="146" spans="1:15" ht="54" customHeight="1">
      <c r="A146" s="54"/>
      <c r="B146" s="13"/>
      <c r="C146" s="13"/>
      <c r="D146" s="13"/>
      <c r="E146" s="46"/>
      <c r="F146" s="46" t="str">
        <f>IF(A146="","",Einstellungen!$B$5)</f>
        <v/>
      </c>
      <c r="G146" s="47" t="str">
        <f t="shared" si="13"/>
        <v/>
      </c>
      <c r="H146" s="14" t="str">
        <f t="shared" si="14"/>
        <v/>
      </c>
      <c r="I146" s="13" t="str">
        <f t="shared" si="12"/>
        <v/>
      </c>
      <c r="J146" s="13"/>
      <c r="K146" s="13"/>
      <c r="L146" s="59" t="str">
        <f>IF(A146="","",IF(Einstellungen!$B$15="","",MAX(0,MIN(E146,Einstellungen!$B$15-(SUMIFS($E$13:$E146,$H$13:$H146,H146)-E146)))))</f>
        <v/>
      </c>
      <c r="M146" s="59" t="str">
        <f t="shared" si="15"/>
        <v/>
      </c>
      <c r="N146" s="59" t="str">
        <f t="shared" si="16"/>
        <v/>
      </c>
      <c r="O146" s="59" t="str">
        <f>IF(A146="","",IF(Einstellungen!$B$15="","",Einstellungen!$B$15-N146))</f>
        <v/>
      </c>
    </row>
    <row r="147" spans="1:15" ht="54" customHeight="1">
      <c r="A147" s="54"/>
      <c r="B147" s="13"/>
      <c r="C147" s="13"/>
      <c r="D147" s="13"/>
      <c r="E147" s="46"/>
      <c r="F147" s="46" t="str">
        <f>IF(A147="","",Einstellungen!$B$5)</f>
        <v/>
      </c>
      <c r="G147" s="47" t="str">
        <f t="shared" si="13"/>
        <v/>
      </c>
      <c r="H147" s="14" t="str">
        <f t="shared" si="14"/>
        <v/>
      </c>
      <c r="I147" s="13" t="str">
        <f t="shared" si="12"/>
        <v/>
      </c>
      <c r="J147" s="13"/>
      <c r="K147" s="13"/>
      <c r="L147" s="59" t="str">
        <f>IF(A147="","",IF(Einstellungen!$B$15="","",MAX(0,MIN(E147,Einstellungen!$B$15-(SUMIFS($E$13:$E147,$H$13:$H147,H147)-E147)))))</f>
        <v/>
      </c>
      <c r="M147" s="59" t="str">
        <f t="shared" si="15"/>
        <v/>
      </c>
      <c r="N147" s="59" t="str">
        <f t="shared" si="16"/>
        <v/>
      </c>
      <c r="O147" s="59" t="str">
        <f>IF(A147="","",IF(Einstellungen!$B$15="","",Einstellungen!$B$15-N147))</f>
        <v/>
      </c>
    </row>
    <row r="148" spans="1:15" ht="54" customHeight="1">
      <c r="A148" s="54"/>
      <c r="B148" s="13"/>
      <c r="C148" s="13"/>
      <c r="D148" s="13"/>
      <c r="E148" s="46"/>
      <c r="F148" s="46" t="str">
        <f>IF(A148="","",Einstellungen!$B$5)</f>
        <v/>
      </c>
      <c r="G148" s="47" t="str">
        <f t="shared" si="13"/>
        <v/>
      </c>
      <c r="H148" s="14" t="str">
        <f t="shared" si="14"/>
        <v/>
      </c>
      <c r="I148" s="13" t="str">
        <f t="shared" si="12"/>
        <v/>
      </c>
      <c r="J148" s="13"/>
      <c r="K148" s="13"/>
      <c r="L148" s="59" t="str">
        <f>IF(A148="","",IF(Einstellungen!$B$15="","",MAX(0,MIN(E148,Einstellungen!$B$15-(SUMIFS($E$13:$E148,$H$13:$H148,H148)-E148)))))</f>
        <v/>
      </c>
      <c r="M148" s="59" t="str">
        <f t="shared" si="15"/>
        <v/>
      </c>
      <c r="N148" s="59" t="str">
        <f t="shared" si="16"/>
        <v/>
      </c>
      <c r="O148" s="59" t="str">
        <f>IF(A148="","",IF(Einstellungen!$B$15="","",Einstellungen!$B$15-N148))</f>
        <v/>
      </c>
    </row>
    <row r="149" spans="1:15" ht="54" customHeight="1">
      <c r="A149" s="54"/>
      <c r="B149" s="13"/>
      <c r="C149" s="13"/>
      <c r="D149" s="13"/>
      <c r="E149" s="46"/>
      <c r="F149" s="46" t="str">
        <f>IF(A149="","",Einstellungen!$B$5)</f>
        <v/>
      </c>
      <c r="G149" s="47" t="str">
        <f t="shared" si="13"/>
        <v/>
      </c>
      <c r="H149" s="14" t="str">
        <f t="shared" si="14"/>
        <v/>
      </c>
      <c r="I149" s="13" t="str">
        <f t="shared" si="12"/>
        <v/>
      </c>
      <c r="J149" s="13"/>
      <c r="K149" s="13"/>
      <c r="L149" s="59" t="str">
        <f>IF(A149="","",IF(Einstellungen!$B$15="","",MAX(0,MIN(E149,Einstellungen!$B$15-(SUMIFS($E$13:$E149,$H$13:$H149,H149)-E149)))))</f>
        <v/>
      </c>
      <c r="M149" s="59" t="str">
        <f t="shared" si="15"/>
        <v/>
      </c>
      <c r="N149" s="59" t="str">
        <f t="shared" si="16"/>
        <v/>
      </c>
      <c r="O149" s="59" t="str">
        <f>IF(A149="","",IF(Einstellungen!$B$15="","",Einstellungen!$B$15-N149))</f>
        <v/>
      </c>
    </row>
    <row r="150" spans="1:15" ht="54" customHeight="1">
      <c r="A150" s="54"/>
      <c r="B150" s="13"/>
      <c r="C150" s="13"/>
      <c r="D150" s="13"/>
      <c r="E150" s="46"/>
      <c r="F150" s="46" t="str">
        <f>IF(A150="","",Einstellungen!$B$5)</f>
        <v/>
      </c>
      <c r="G150" s="47" t="str">
        <f t="shared" si="13"/>
        <v/>
      </c>
      <c r="H150" s="14" t="str">
        <f t="shared" si="14"/>
        <v/>
      </c>
      <c r="I150" s="13" t="str">
        <f t="shared" si="12"/>
        <v/>
      </c>
      <c r="J150" s="13"/>
      <c r="K150" s="13"/>
      <c r="L150" s="59" t="str">
        <f>IF(A150="","",IF(Einstellungen!$B$15="","",MAX(0,MIN(E150,Einstellungen!$B$15-(SUMIFS($E$13:$E150,$H$13:$H150,H150)-E150)))))</f>
        <v/>
      </c>
      <c r="M150" s="59" t="str">
        <f t="shared" si="15"/>
        <v/>
      </c>
      <c r="N150" s="59" t="str">
        <f t="shared" si="16"/>
        <v/>
      </c>
      <c r="O150" s="59" t="str">
        <f>IF(A150="","",IF(Einstellungen!$B$15="","",Einstellungen!$B$15-N150))</f>
        <v/>
      </c>
    </row>
    <row r="151" spans="1:15" ht="54" customHeight="1">
      <c r="A151" s="54"/>
      <c r="B151" s="13"/>
      <c r="C151" s="13"/>
      <c r="D151" s="13"/>
      <c r="E151" s="46"/>
      <c r="F151" s="46" t="str">
        <f>IF(A151="","",Einstellungen!$B$5)</f>
        <v/>
      </c>
      <c r="G151" s="47" t="str">
        <f t="shared" si="13"/>
        <v/>
      </c>
      <c r="H151" s="14" t="str">
        <f t="shared" si="14"/>
        <v/>
      </c>
      <c r="I151" s="13" t="str">
        <f t="shared" si="12"/>
        <v/>
      </c>
      <c r="J151" s="13"/>
      <c r="K151" s="13"/>
      <c r="L151" s="59" t="str">
        <f>IF(A151="","",IF(Einstellungen!$B$15="","",MAX(0,MIN(E151,Einstellungen!$B$15-(SUMIFS($E$13:$E151,$H$13:$H151,H151)-E151)))))</f>
        <v/>
      </c>
      <c r="M151" s="59" t="str">
        <f t="shared" si="15"/>
        <v/>
      </c>
      <c r="N151" s="59" t="str">
        <f t="shared" si="16"/>
        <v/>
      </c>
      <c r="O151" s="59" t="str">
        <f>IF(A151="","",IF(Einstellungen!$B$15="","",Einstellungen!$B$15-N151))</f>
        <v/>
      </c>
    </row>
    <row r="152" spans="1:15" ht="54" customHeight="1">
      <c r="A152" s="54"/>
      <c r="B152" s="13"/>
      <c r="C152" s="13"/>
      <c r="D152" s="13"/>
      <c r="E152" s="46"/>
      <c r="F152" s="46" t="str">
        <f>IF(A152="","",Einstellungen!$B$5)</f>
        <v/>
      </c>
      <c r="G152" s="47" t="str">
        <f t="shared" si="13"/>
        <v/>
      </c>
      <c r="H152" s="14" t="str">
        <f t="shared" si="14"/>
        <v/>
      </c>
      <c r="I152" s="13" t="str">
        <f t="shared" si="12"/>
        <v/>
      </c>
      <c r="J152" s="13"/>
      <c r="K152" s="13"/>
      <c r="L152" s="59" t="str">
        <f>IF(A152="","",IF(Einstellungen!$B$15="","",MAX(0,MIN(E152,Einstellungen!$B$15-(SUMIFS($E$13:$E152,$H$13:$H152,H152)-E152)))))</f>
        <v/>
      </c>
      <c r="M152" s="59" t="str">
        <f t="shared" si="15"/>
        <v/>
      </c>
      <c r="N152" s="59" t="str">
        <f t="shared" si="16"/>
        <v/>
      </c>
      <c r="O152" s="59" t="str">
        <f>IF(A152="","",IF(Einstellungen!$B$15="","",Einstellungen!$B$15-N152))</f>
        <v/>
      </c>
    </row>
    <row r="153" spans="1:15" ht="54" customHeight="1">
      <c r="A153" s="54"/>
      <c r="B153" s="13"/>
      <c r="C153" s="13"/>
      <c r="D153" s="13"/>
      <c r="E153" s="46"/>
      <c r="F153" s="46" t="str">
        <f>IF(A153="","",Einstellungen!$B$5)</f>
        <v/>
      </c>
      <c r="G153" s="47" t="str">
        <f t="shared" si="13"/>
        <v/>
      </c>
      <c r="H153" s="14" t="str">
        <f t="shared" si="14"/>
        <v/>
      </c>
      <c r="I153" s="13" t="str">
        <f t="shared" si="12"/>
        <v/>
      </c>
      <c r="J153" s="13"/>
      <c r="K153" s="13"/>
      <c r="L153" s="59" t="str">
        <f>IF(A153="","",IF(Einstellungen!$B$15="","",MAX(0,MIN(E153,Einstellungen!$B$15-(SUMIFS($E$13:$E153,$H$13:$H153,H153)-E153)))))</f>
        <v/>
      </c>
      <c r="M153" s="59" t="str">
        <f t="shared" si="15"/>
        <v/>
      </c>
      <c r="N153" s="59" t="str">
        <f t="shared" si="16"/>
        <v/>
      </c>
      <c r="O153" s="59" t="str">
        <f>IF(A153="","",IF(Einstellungen!$B$15="","",Einstellungen!$B$15-N153))</f>
        <v/>
      </c>
    </row>
    <row r="154" spans="1:15" ht="54" customHeight="1">
      <c r="A154" s="54"/>
      <c r="B154" s="13"/>
      <c r="C154" s="13"/>
      <c r="D154" s="13"/>
      <c r="E154" s="46"/>
      <c r="F154" s="46" t="str">
        <f>IF(A154="","",Einstellungen!$B$5)</f>
        <v/>
      </c>
      <c r="G154" s="47" t="str">
        <f t="shared" si="13"/>
        <v/>
      </c>
      <c r="H154" s="14" t="str">
        <f t="shared" si="14"/>
        <v/>
      </c>
      <c r="I154" s="13" t="str">
        <f t="shared" si="12"/>
        <v/>
      </c>
      <c r="J154" s="13"/>
      <c r="K154" s="13"/>
      <c r="L154" s="59" t="str">
        <f>IF(A154="","",IF(Einstellungen!$B$15="","",MAX(0,MIN(E154,Einstellungen!$B$15-(SUMIFS($E$13:$E154,$H$13:$H154,H154)-E154)))))</f>
        <v/>
      </c>
      <c r="M154" s="59" t="str">
        <f t="shared" si="15"/>
        <v/>
      </c>
      <c r="N154" s="59" t="str">
        <f t="shared" si="16"/>
        <v/>
      </c>
      <c r="O154" s="59" t="str">
        <f>IF(A154="","",IF(Einstellungen!$B$15="","",Einstellungen!$B$15-N154))</f>
        <v/>
      </c>
    </row>
    <row r="155" spans="1:15" ht="54" customHeight="1">
      <c r="A155" s="54"/>
      <c r="B155" s="13"/>
      <c r="C155" s="13"/>
      <c r="D155" s="13"/>
      <c r="E155" s="46"/>
      <c r="F155" s="46" t="str">
        <f>IF(A155="","",Einstellungen!$B$5)</f>
        <v/>
      </c>
      <c r="G155" s="47" t="str">
        <f t="shared" si="13"/>
        <v/>
      </c>
      <c r="H155" s="14" t="str">
        <f t="shared" si="14"/>
        <v/>
      </c>
      <c r="I155" s="13" t="str">
        <f t="shared" si="12"/>
        <v/>
      </c>
      <c r="J155" s="13"/>
      <c r="K155" s="13"/>
      <c r="L155" s="59" t="str">
        <f>IF(A155="","",IF(Einstellungen!$B$15="","",MAX(0,MIN(E155,Einstellungen!$B$15-(SUMIFS($E$13:$E155,$H$13:$H155,H155)-E155)))))</f>
        <v/>
      </c>
      <c r="M155" s="59" t="str">
        <f t="shared" si="15"/>
        <v/>
      </c>
      <c r="N155" s="59" t="str">
        <f t="shared" si="16"/>
        <v/>
      </c>
      <c r="O155" s="59" t="str">
        <f>IF(A155="","",IF(Einstellungen!$B$15="","",Einstellungen!$B$15-N155))</f>
        <v/>
      </c>
    </row>
    <row r="156" spans="1:15" ht="54" customHeight="1">
      <c r="A156" s="54"/>
      <c r="B156" s="13"/>
      <c r="C156" s="13"/>
      <c r="D156" s="13"/>
      <c r="E156" s="46"/>
      <c r="F156" s="46" t="str">
        <f>IF(A156="","",Einstellungen!$B$5)</f>
        <v/>
      </c>
      <c r="G156" s="47" t="str">
        <f t="shared" si="13"/>
        <v/>
      </c>
      <c r="H156" s="14" t="str">
        <f t="shared" si="14"/>
        <v/>
      </c>
      <c r="I156" s="13" t="str">
        <f t="shared" si="12"/>
        <v/>
      </c>
      <c r="J156" s="13"/>
      <c r="K156" s="13"/>
      <c r="L156" s="59" t="str">
        <f>IF(A156="","",IF(Einstellungen!$B$15="","",MAX(0,MIN(E156,Einstellungen!$B$15-(SUMIFS($E$13:$E156,$H$13:$H156,H156)-E156)))))</f>
        <v/>
      </c>
      <c r="M156" s="59" t="str">
        <f t="shared" si="15"/>
        <v/>
      </c>
      <c r="N156" s="59" t="str">
        <f t="shared" si="16"/>
        <v/>
      </c>
      <c r="O156" s="59" t="str">
        <f>IF(A156="","",IF(Einstellungen!$B$15="","",Einstellungen!$B$15-N156))</f>
        <v/>
      </c>
    </row>
    <row r="157" spans="1:15" ht="54" customHeight="1">
      <c r="A157" s="54"/>
      <c r="B157" s="13"/>
      <c r="C157" s="13"/>
      <c r="D157" s="13"/>
      <c r="E157" s="46"/>
      <c r="F157" s="46" t="str">
        <f>IF(A157="","",Einstellungen!$B$5)</f>
        <v/>
      </c>
      <c r="G157" s="47" t="str">
        <f t="shared" si="13"/>
        <v/>
      </c>
      <c r="H157" s="14" t="str">
        <f t="shared" si="14"/>
        <v/>
      </c>
      <c r="I157" s="13" t="str">
        <f t="shared" si="12"/>
        <v/>
      </c>
      <c r="J157" s="13"/>
      <c r="K157" s="13"/>
      <c r="L157" s="59" t="str">
        <f>IF(A157="","",IF(Einstellungen!$B$15="","",MAX(0,MIN(E157,Einstellungen!$B$15-(SUMIFS($E$13:$E157,$H$13:$H157,H157)-E157)))))</f>
        <v/>
      </c>
      <c r="M157" s="59" t="str">
        <f t="shared" si="15"/>
        <v/>
      </c>
      <c r="N157" s="59" t="str">
        <f t="shared" si="16"/>
        <v/>
      </c>
      <c r="O157" s="59" t="str">
        <f>IF(A157="","",IF(Einstellungen!$B$15="","",Einstellungen!$B$15-N157))</f>
        <v/>
      </c>
    </row>
    <row r="158" spans="1:15" ht="54" customHeight="1">
      <c r="A158" s="54"/>
      <c r="B158" s="13"/>
      <c r="C158" s="13"/>
      <c r="D158" s="13"/>
      <c r="E158" s="46"/>
      <c r="F158" s="46" t="str">
        <f>IF(A158="","",Einstellungen!$B$5)</f>
        <v/>
      </c>
      <c r="G158" s="47" t="str">
        <f t="shared" si="13"/>
        <v/>
      </c>
      <c r="H158" s="14" t="str">
        <f t="shared" si="14"/>
        <v/>
      </c>
      <c r="I158" s="13" t="str">
        <f t="shared" si="12"/>
        <v/>
      </c>
      <c r="J158" s="13"/>
      <c r="K158" s="13"/>
      <c r="L158" s="59" t="str">
        <f>IF(A158="","",IF(Einstellungen!$B$15="","",MAX(0,MIN(E158,Einstellungen!$B$15-(SUMIFS($E$13:$E158,$H$13:$H158,H158)-E158)))))</f>
        <v/>
      </c>
      <c r="M158" s="59" t="str">
        <f t="shared" si="15"/>
        <v/>
      </c>
      <c r="N158" s="59" t="str">
        <f t="shared" si="16"/>
        <v/>
      </c>
      <c r="O158" s="59" t="str">
        <f>IF(A158="","",IF(Einstellungen!$B$15="","",Einstellungen!$B$15-N158))</f>
        <v/>
      </c>
    </row>
    <row r="159" spans="1:15" ht="54" customHeight="1">
      <c r="A159" s="54"/>
      <c r="B159" s="13"/>
      <c r="C159" s="13"/>
      <c r="D159" s="13"/>
      <c r="E159" s="46"/>
      <c r="F159" s="46" t="str">
        <f>IF(A159="","",Einstellungen!$B$5)</f>
        <v/>
      </c>
      <c r="G159" s="47" t="str">
        <f t="shared" si="13"/>
        <v/>
      </c>
      <c r="H159" s="14" t="str">
        <f t="shared" si="14"/>
        <v/>
      </c>
      <c r="I159" s="13" t="str">
        <f t="shared" si="12"/>
        <v/>
      </c>
      <c r="J159" s="13"/>
      <c r="K159" s="13"/>
      <c r="L159" s="59" t="str">
        <f>IF(A159="","",IF(Einstellungen!$B$15="","",MAX(0,MIN(E159,Einstellungen!$B$15-(SUMIFS($E$13:$E159,$H$13:$H159,H159)-E159)))))</f>
        <v/>
      </c>
      <c r="M159" s="59" t="str">
        <f t="shared" si="15"/>
        <v/>
      </c>
      <c r="N159" s="59" t="str">
        <f t="shared" si="16"/>
        <v/>
      </c>
      <c r="O159" s="59" t="str">
        <f>IF(A159="","",IF(Einstellungen!$B$15="","",Einstellungen!$B$15-N159))</f>
        <v/>
      </c>
    </row>
    <row r="160" spans="1:15" ht="54" customHeight="1">
      <c r="A160" s="54"/>
      <c r="B160" s="13"/>
      <c r="C160" s="13"/>
      <c r="D160" s="13"/>
      <c r="E160" s="46"/>
      <c r="F160" s="46" t="str">
        <f>IF(A160="","",Einstellungen!$B$5)</f>
        <v/>
      </c>
      <c r="G160" s="47" t="str">
        <f t="shared" si="13"/>
        <v/>
      </c>
      <c r="H160" s="14" t="str">
        <f t="shared" si="14"/>
        <v/>
      </c>
      <c r="I160" s="13" t="str">
        <f t="shared" si="12"/>
        <v/>
      </c>
      <c r="J160" s="13"/>
      <c r="K160" s="13"/>
      <c r="L160" s="59" t="str">
        <f>IF(A160="","",IF(Einstellungen!$B$15="","",MAX(0,MIN(E160,Einstellungen!$B$15-(SUMIFS($E$13:$E160,$H$13:$H160,H160)-E160)))))</f>
        <v/>
      </c>
      <c r="M160" s="59" t="str">
        <f t="shared" si="15"/>
        <v/>
      </c>
      <c r="N160" s="59" t="str">
        <f t="shared" si="16"/>
        <v/>
      </c>
      <c r="O160" s="59" t="str">
        <f>IF(A160="","",IF(Einstellungen!$B$15="","",Einstellungen!$B$15-N160))</f>
        <v/>
      </c>
    </row>
    <row r="161" spans="1:15" ht="54" customHeight="1">
      <c r="A161" s="54"/>
      <c r="B161" s="13"/>
      <c r="C161" s="13"/>
      <c r="D161" s="13"/>
      <c r="E161" s="46"/>
      <c r="F161" s="46" t="str">
        <f>IF(A161="","",Einstellungen!$B$5)</f>
        <v/>
      </c>
      <c r="G161" s="47" t="str">
        <f t="shared" si="13"/>
        <v/>
      </c>
      <c r="H161" s="14" t="str">
        <f t="shared" si="14"/>
        <v/>
      </c>
      <c r="I161" s="13" t="str">
        <f t="shared" si="12"/>
        <v/>
      </c>
      <c r="J161" s="13"/>
      <c r="K161" s="13"/>
      <c r="L161" s="59" t="str">
        <f>IF(A161="","",IF(Einstellungen!$B$15="","",MAX(0,MIN(E161,Einstellungen!$B$15-(SUMIFS($E$13:$E161,$H$13:$H161,H161)-E161)))))</f>
        <v/>
      </c>
      <c r="M161" s="59" t="str">
        <f t="shared" si="15"/>
        <v/>
      </c>
      <c r="N161" s="59" t="str">
        <f t="shared" si="16"/>
        <v/>
      </c>
      <c r="O161" s="59" t="str">
        <f>IF(A161="","",IF(Einstellungen!$B$15="","",Einstellungen!$B$15-N161))</f>
        <v/>
      </c>
    </row>
    <row r="162" spans="1:15" ht="54" customHeight="1">
      <c r="A162" s="54"/>
      <c r="B162" s="13"/>
      <c r="C162" s="13"/>
      <c r="D162" s="13"/>
      <c r="E162" s="46"/>
      <c r="F162" s="46" t="str">
        <f>IF(A162="","",Einstellungen!$B$5)</f>
        <v/>
      </c>
      <c r="G162" s="47" t="str">
        <f t="shared" si="13"/>
        <v/>
      </c>
      <c r="H162" s="14" t="str">
        <f t="shared" si="14"/>
        <v/>
      </c>
      <c r="I162" s="13" t="str">
        <f t="shared" si="12"/>
        <v/>
      </c>
      <c r="J162" s="13"/>
      <c r="K162" s="13"/>
      <c r="L162" s="59" t="str">
        <f>IF(A162="","",IF(Einstellungen!$B$15="","",MAX(0,MIN(E162,Einstellungen!$B$15-(SUMIFS($E$13:$E162,$H$13:$H162,H162)-E162)))))</f>
        <v/>
      </c>
      <c r="M162" s="59" t="str">
        <f t="shared" si="15"/>
        <v/>
      </c>
      <c r="N162" s="59" t="str">
        <f t="shared" si="16"/>
        <v/>
      </c>
      <c r="O162" s="59" t="str">
        <f>IF(A162="","",IF(Einstellungen!$B$15="","",Einstellungen!$B$15-N162))</f>
        <v/>
      </c>
    </row>
    <row r="163" spans="1:15" ht="54" customHeight="1">
      <c r="A163" s="54"/>
      <c r="B163" s="13"/>
      <c r="C163" s="13"/>
      <c r="D163" s="13"/>
      <c r="E163" s="46"/>
      <c r="F163" s="46" t="str">
        <f>IF(A163="","",Einstellungen!$B$5)</f>
        <v/>
      </c>
      <c r="G163" s="47" t="str">
        <f t="shared" si="13"/>
        <v/>
      </c>
      <c r="H163" s="14" t="str">
        <f t="shared" si="14"/>
        <v/>
      </c>
      <c r="I163" s="13" t="str">
        <f t="shared" ref="I163:I194" si="17">IF(A163="","",TEXT(A163,"[$-de-DE]MMMM YYYY"))</f>
        <v/>
      </c>
      <c r="J163" s="13"/>
      <c r="K163" s="13"/>
      <c r="L163" s="59" t="str">
        <f>IF(A163="","",IF(Einstellungen!$B$15="","",MAX(0,MIN(E163,Einstellungen!$B$15-(SUMIFS($E$13:$E163,$H$13:$H163,H163)-E163)))))</f>
        <v/>
      </c>
      <c r="M163" s="59" t="str">
        <f t="shared" si="15"/>
        <v/>
      </c>
      <c r="N163" s="59" t="str">
        <f t="shared" si="16"/>
        <v/>
      </c>
      <c r="O163" s="59" t="str">
        <f>IF(A163="","",IF(Einstellungen!$B$15="","",Einstellungen!$B$15-N163))</f>
        <v/>
      </c>
    </row>
    <row r="164" spans="1:15" ht="54" customHeight="1">
      <c r="A164" s="54"/>
      <c r="B164" s="13"/>
      <c r="C164" s="13"/>
      <c r="D164" s="13"/>
      <c r="E164" s="46"/>
      <c r="F164" s="46" t="str">
        <f>IF(A164="","",Einstellungen!$B$5)</f>
        <v/>
      </c>
      <c r="G164" s="47" t="str">
        <f t="shared" si="13"/>
        <v/>
      </c>
      <c r="H164" s="14" t="str">
        <f t="shared" si="14"/>
        <v/>
      </c>
      <c r="I164" s="13" t="str">
        <f t="shared" si="17"/>
        <v/>
      </c>
      <c r="J164" s="13"/>
      <c r="K164" s="13"/>
      <c r="L164" s="59" t="str">
        <f>IF(A164="","",IF(Einstellungen!$B$15="","",MAX(0,MIN(E164,Einstellungen!$B$15-(SUMIFS($E$13:$E164,$H$13:$H164,H164)-E164)))))</f>
        <v/>
      </c>
      <c r="M164" s="59" t="str">
        <f t="shared" si="15"/>
        <v/>
      </c>
      <c r="N164" s="59" t="str">
        <f t="shared" si="16"/>
        <v/>
      </c>
      <c r="O164" s="59" t="str">
        <f>IF(A164="","",IF(Einstellungen!$B$15="","",Einstellungen!$B$15-N164))</f>
        <v/>
      </c>
    </row>
    <row r="165" spans="1:15" ht="54" customHeight="1">
      <c r="A165" s="54"/>
      <c r="B165" s="13"/>
      <c r="C165" s="13"/>
      <c r="D165" s="13"/>
      <c r="E165" s="46"/>
      <c r="F165" s="46" t="str">
        <f>IF(A165="","",Einstellungen!$B$5)</f>
        <v/>
      </c>
      <c r="G165" s="47" t="str">
        <f t="shared" si="13"/>
        <v/>
      </c>
      <c r="H165" s="14" t="str">
        <f t="shared" si="14"/>
        <v/>
      </c>
      <c r="I165" s="13" t="str">
        <f t="shared" si="17"/>
        <v/>
      </c>
      <c r="J165" s="13"/>
      <c r="K165" s="13"/>
      <c r="L165" s="59" t="str">
        <f>IF(A165="","",IF(Einstellungen!$B$15="","",MAX(0,MIN(E165,Einstellungen!$B$15-(SUMIFS($E$13:$E165,$H$13:$H165,H165)-E165)))))</f>
        <v/>
      </c>
      <c r="M165" s="59" t="str">
        <f t="shared" si="15"/>
        <v/>
      </c>
      <c r="N165" s="59" t="str">
        <f t="shared" si="16"/>
        <v/>
      </c>
      <c r="O165" s="59" t="str">
        <f>IF(A165="","",IF(Einstellungen!$B$15="","",Einstellungen!$B$15-N165))</f>
        <v/>
      </c>
    </row>
    <row r="166" spans="1:15" ht="54" customHeight="1">
      <c r="A166" s="54"/>
      <c r="B166" s="13"/>
      <c r="C166" s="13"/>
      <c r="D166" s="13"/>
      <c r="E166" s="46"/>
      <c r="F166" s="46" t="str">
        <f>IF(A166="","",Einstellungen!$B$5)</f>
        <v/>
      </c>
      <c r="G166" s="47" t="str">
        <f t="shared" si="13"/>
        <v/>
      </c>
      <c r="H166" s="14" t="str">
        <f t="shared" si="14"/>
        <v/>
      </c>
      <c r="I166" s="13" t="str">
        <f t="shared" si="17"/>
        <v/>
      </c>
      <c r="J166" s="13"/>
      <c r="K166" s="13"/>
      <c r="L166" s="59" t="str">
        <f>IF(A166="","",IF(Einstellungen!$B$15="","",MAX(0,MIN(E166,Einstellungen!$B$15-(SUMIFS($E$13:$E166,$H$13:$H166,H166)-E166)))))</f>
        <v/>
      </c>
      <c r="M166" s="59" t="str">
        <f t="shared" si="15"/>
        <v/>
      </c>
      <c r="N166" s="59" t="str">
        <f t="shared" si="16"/>
        <v/>
      </c>
      <c r="O166" s="59" t="str">
        <f>IF(A166="","",IF(Einstellungen!$B$15="","",Einstellungen!$B$15-N166))</f>
        <v/>
      </c>
    </row>
    <row r="167" spans="1:15" ht="54" customHeight="1">
      <c r="A167" s="54"/>
      <c r="B167" s="13"/>
      <c r="C167" s="13"/>
      <c r="D167" s="13"/>
      <c r="E167" s="46"/>
      <c r="F167" s="46" t="str">
        <f>IF(A167="","",Einstellungen!$B$5)</f>
        <v/>
      </c>
      <c r="G167" s="47" t="str">
        <f t="shared" si="13"/>
        <v/>
      </c>
      <c r="H167" s="14" t="str">
        <f t="shared" si="14"/>
        <v/>
      </c>
      <c r="I167" s="13" t="str">
        <f t="shared" si="17"/>
        <v/>
      </c>
      <c r="J167" s="13"/>
      <c r="K167" s="13"/>
      <c r="L167" s="59" t="str">
        <f>IF(A167="","",IF(Einstellungen!$B$15="","",MAX(0,MIN(E167,Einstellungen!$B$15-(SUMIFS($E$13:$E167,$H$13:$H167,H167)-E167)))))</f>
        <v/>
      </c>
      <c r="M167" s="59" t="str">
        <f t="shared" si="15"/>
        <v/>
      </c>
      <c r="N167" s="59" t="str">
        <f t="shared" si="16"/>
        <v/>
      </c>
      <c r="O167" s="59" t="str">
        <f>IF(A167="","",IF(Einstellungen!$B$15="","",Einstellungen!$B$15-N167))</f>
        <v/>
      </c>
    </row>
    <row r="168" spans="1:15" ht="54" customHeight="1">
      <c r="A168" s="54"/>
      <c r="B168" s="13"/>
      <c r="C168" s="13"/>
      <c r="D168" s="13"/>
      <c r="E168" s="46"/>
      <c r="F168" s="46" t="str">
        <f>IF(A168="","",Einstellungen!$B$5)</f>
        <v/>
      </c>
      <c r="G168" s="47" t="str">
        <f t="shared" si="13"/>
        <v/>
      </c>
      <c r="H168" s="14" t="str">
        <f t="shared" si="14"/>
        <v/>
      </c>
      <c r="I168" s="13" t="str">
        <f t="shared" si="17"/>
        <v/>
      </c>
      <c r="J168" s="13"/>
      <c r="K168" s="13"/>
      <c r="L168" s="59" t="str">
        <f>IF(A168="","",IF(Einstellungen!$B$15="","",MAX(0,MIN(E168,Einstellungen!$B$15-(SUMIFS($E$13:$E168,$H$13:$H168,H168)-E168)))))</f>
        <v/>
      </c>
      <c r="M168" s="59" t="str">
        <f t="shared" si="15"/>
        <v/>
      </c>
      <c r="N168" s="59" t="str">
        <f t="shared" si="16"/>
        <v/>
      </c>
      <c r="O168" s="59" t="str">
        <f>IF(A168="","",IF(Einstellungen!$B$15="","",Einstellungen!$B$15-N168))</f>
        <v/>
      </c>
    </row>
    <row r="169" spans="1:15" ht="54" customHeight="1">
      <c r="A169" s="54"/>
      <c r="B169" s="13"/>
      <c r="C169" s="13"/>
      <c r="D169" s="13"/>
      <c r="E169" s="46"/>
      <c r="F169" s="46" t="str">
        <f>IF(A169="","",Einstellungen!$B$5)</f>
        <v/>
      </c>
      <c r="G169" s="47" t="str">
        <f t="shared" si="13"/>
        <v/>
      </c>
      <c r="H169" s="14" t="str">
        <f t="shared" si="14"/>
        <v/>
      </c>
      <c r="I169" s="13" t="str">
        <f t="shared" si="17"/>
        <v/>
      </c>
      <c r="J169" s="13"/>
      <c r="K169" s="13"/>
      <c r="L169" s="59" t="str">
        <f>IF(A169="","",IF(Einstellungen!$B$15="","",MAX(0,MIN(E169,Einstellungen!$B$15-(SUMIFS($E$13:$E169,$H$13:$H169,H169)-E169)))))</f>
        <v/>
      </c>
      <c r="M169" s="59" t="str">
        <f t="shared" si="15"/>
        <v/>
      </c>
      <c r="N169" s="59" t="str">
        <f t="shared" si="16"/>
        <v/>
      </c>
      <c r="O169" s="59" t="str">
        <f>IF(A169="","",IF(Einstellungen!$B$15="","",Einstellungen!$B$15-N169))</f>
        <v/>
      </c>
    </row>
    <row r="170" spans="1:15" ht="54" customHeight="1">
      <c r="A170" s="54"/>
      <c r="B170" s="13"/>
      <c r="C170" s="13"/>
      <c r="D170" s="13"/>
      <c r="E170" s="46"/>
      <c r="F170" s="46" t="str">
        <f>IF(A170="","",Einstellungen!$B$5)</f>
        <v/>
      </c>
      <c r="G170" s="47" t="str">
        <f t="shared" si="13"/>
        <v/>
      </c>
      <c r="H170" s="14" t="str">
        <f t="shared" si="14"/>
        <v/>
      </c>
      <c r="I170" s="13" t="str">
        <f t="shared" si="17"/>
        <v/>
      </c>
      <c r="J170" s="13"/>
      <c r="K170" s="13"/>
      <c r="L170" s="59" t="str">
        <f>IF(A170="","",IF(Einstellungen!$B$15="","",MAX(0,MIN(E170,Einstellungen!$B$15-(SUMIFS($E$13:$E170,$H$13:$H170,H170)-E170)))))</f>
        <v/>
      </c>
      <c r="M170" s="59" t="str">
        <f t="shared" si="15"/>
        <v/>
      </c>
      <c r="N170" s="59" t="str">
        <f t="shared" si="16"/>
        <v/>
      </c>
      <c r="O170" s="59" t="str">
        <f>IF(A170="","",IF(Einstellungen!$B$15="","",Einstellungen!$B$15-N170))</f>
        <v/>
      </c>
    </row>
    <row r="171" spans="1:15" ht="54" customHeight="1">
      <c r="A171" s="54"/>
      <c r="B171" s="13"/>
      <c r="C171" s="13"/>
      <c r="D171" s="13"/>
      <c r="E171" s="46"/>
      <c r="F171" s="46" t="str">
        <f>IF(A171="","",Einstellungen!$B$5)</f>
        <v/>
      </c>
      <c r="G171" s="47" t="str">
        <f t="shared" si="13"/>
        <v/>
      </c>
      <c r="H171" s="14" t="str">
        <f t="shared" si="14"/>
        <v/>
      </c>
      <c r="I171" s="13" t="str">
        <f t="shared" si="17"/>
        <v/>
      </c>
      <c r="J171" s="13"/>
      <c r="K171" s="13"/>
      <c r="L171" s="59" t="str">
        <f>IF(A171="","",IF(Einstellungen!$B$15="","",MAX(0,MIN(E171,Einstellungen!$B$15-(SUMIFS($E$13:$E171,$H$13:$H171,H171)-E171)))))</f>
        <v/>
      </c>
      <c r="M171" s="59" t="str">
        <f t="shared" si="15"/>
        <v/>
      </c>
      <c r="N171" s="59" t="str">
        <f t="shared" si="16"/>
        <v/>
      </c>
      <c r="O171" s="59" t="str">
        <f>IF(A171="","",IF(Einstellungen!$B$15="","",Einstellungen!$B$15-N171))</f>
        <v/>
      </c>
    </row>
    <row r="172" spans="1:15" ht="54" customHeight="1">
      <c r="A172" s="54"/>
      <c r="B172" s="13"/>
      <c r="C172" s="13"/>
      <c r="D172" s="13"/>
      <c r="E172" s="46"/>
      <c r="F172" s="46" t="str">
        <f>IF(A172="","",Einstellungen!$B$5)</f>
        <v/>
      </c>
      <c r="G172" s="47" t="str">
        <f t="shared" si="13"/>
        <v/>
      </c>
      <c r="H172" s="14" t="str">
        <f t="shared" si="14"/>
        <v/>
      </c>
      <c r="I172" s="13" t="str">
        <f t="shared" si="17"/>
        <v/>
      </c>
      <c r="J172" s="13"/>
      <c r="K172" s="13"/>
      <c r="L172" s="59" t="str">
        <f>IF(A172="","",IF(Einstellungen!$B$15="","",MAX(0,MIN(E172,Einstellungen!$B$15-(SUMIFS($E$13:$E172,$H$13:$H172,H172)-E172)))))</f>
        <v/>
      </c>
      <c r="M172" s="59" t="str">
        <f t="shared" si="15"/>
        <v/>
      </c>
      <c r="N172" s="59" t="str">
        <f t="shared" si="16"/>
        <v/>
      </c>
      <c r="O172" s="59" t="str">
        <f>IF(A172="","",IF(Einstellungen!$B$15="","",Einstellungen!$B$15-N172))</f>
        <v/>
      </c>
    </row>
    <row r="173" spans="1:15" ht="54" customHeight="1">
      <c r="A173" s="54"/>
      <c r="B173" s="13"/>
      <c r="C173" s="13"/>
      <c r="D173" s="13"/>
      <c r="E173" s="46"/>
      <c r="F173" s="46" t="str">
        <f>IF(A173="","",Einstellungen!$B$5)</f>
        <v/>
      </c>
      <c r="G173" s="47" t="str">
        <f t="shared" si="13"/>
        <v/>
      </c>
      <c r="H173" s="14" t="str">
        <f t="shared" si="14"/>
        <v/>
      </c>
      <c r="I173" s="13" t="str">
        <f t="shared" si="17"/>
        <v/>
      </c>
      <c r="J173" s="13"/>
      <c r="K173" s="13"/>
      <c r="L173" s="59" t="str">
        <f>IF(A173="","",IF(Einstellungen!$B$15="","",MAX(0,MIN(E173,Einstellungen!$B$15-(SUMIFS($E$13:$E173,$H$13:$H173,H173)-E173)))))</f>
        <v/>
      </c>
      <c r="M173" s="59" t="str">
        <f t="shared" si="15"/>
        <v/>
      </c>
      <c r="N173" s="59" t="str">
        <f t="shared" si="16"/>
        <v/>
      </c>
      <c r="O173" s="59" t="str">
        <f>IF(A173="","",IF(Einstellungen!$B$15="","",Einstellungen!$B$15-N173))</f>
        <v/>
      </c>
    </row>
    <row r="174" spans="1:15" ht="54" customHeight="1">
      <c r="A174" s="54"/>
      <c r="B174" s="13"/>
      <c r="C174" s="13"/>
      <c r="D174" s="13"/>
      <c r="E174" s="46"/>
      <c r="F174" s="46" t="str">
        <f>IF(A174="","",Einstellungen!$B$5)</f>
        <v/>
      </c>
      <c r="G174" s="47" t="str">
        <f t="shared" si="13"/>
        <v/>
      </c>
      <c r="H174" s="14" t="str">
        <f t="shared" si="14"/>
        <v/>
      </c>
      <c r="I174" s="13" t="str">
        <f t="shared" si="17"/>
        <v/>
      </c>
      <c r="J174" s="13"/>
      <c r="K174" s="13"/>
      <c r="L174" s="59" t="str">
        <f>IF(A174="","",IF(Einstellungen!$B$15="","",MAX(0,MIN(E174,Einstellungen!$B$15-(SUMIFS($E$13:$E174,$H$13:$H174,H174)-E174)))))</f>
        <v/>
      </c>
      <c r="M174" s="59" t="str">
        <f t="shared" si="15"/>
        <v/>
      </c>
      <c r="N174" s="59" t="str">
        <f t="shared" si="16"/>
        <v/>
      </c>
      <c r="O174" s="59" t="str">
        <f>IF(A174="","",IF(Einstellungen!$B$15="","",Einstellungen!$B$15-N174))</f>
        <v/>
      </c>
    </row>
    <row r="175" spans="1:15" ht="54" customHeight="1">
      <c r="A175" s="54"/>
      <c r="B175" s="13"/>
      <c r="C175" s="13"/>
      <c r="D175" s="13"/>
      <c r="E175" s="46"/>
      <c r="F175" s="46" t="str">
        <f>IF(A175="","",Einstellungen!$B$5)</f>
        <v/>
      </c>
      <c r="G175" s="47" t="str">
        <f t="shared" si="13"/>
        <v/>
      </c>
      <c r="H175" s="14" t="str">
        <f t="shared" si="14"/>
        <v/>
      </c>
      <c r="I175" s="13" t="str">
        <f t="shared" si="17"/>
        <v/>
      </c>
      <c r="J175" s="13"/>
      <c r="K175" s="13"/>
      <c r="L175" s="59" t="str">
        <f>IF(A175="","",IF(Einstellungen!$B$15="","",MAX(0,MIN(E175,Einstellungen!$B$15-(SUMIFS($E$13:$E175,$H$13:$H175,H175)-E175)))))</f>
        <v/>
      </c>
      <c r="M175" s="59" t="str">
        <f t="shared" si="15"/>
        <v/>
      </c>
      <c r="N175" s="59" t="str">
        <f t="shared" si="16"/>
        <v/>
      </c>
      <c r="O175" s="59" t="str">
        <f>IF(A175="","",IF(Einstellungen!$B$15="","",Einstellungen!$B$15-N175))</f>
        <v/>
      </c>
    </row>
    <row r="176" spans="1:15" ht="54" customHeight="1">
      <c r="A176" s="54"/>
      <c r="B176" s="13"/>
      <c r="C176" s="13"/>
      <c r="D176" s="13"/>
      <c r="E176" s="46"/>
      <c r="F176" s="46" t="str">
        <f>IF(A176="","",Einstellungen!$B$5)</f>
        <v/>
      </c>
      <c r="G176" s="47" t="str">
        <f t="shared" si="13"/>
        <v/>
      </c>
      <c r="H176" s="14" t="str">
        <f t="shared" si="14"/>
        <v/>
      </c>
      <c r="I176" s="13" t="str">
        <f t="shared" si="17"/>
        <v/>
      </c>
      <c r="J176" s="13"/>
      <c r="K176" s="13"/>
      <c r="L176" s="59" t="str">
        <f>IF(A176="","",IF(Einstellungen!$B$15="","",MAX(0,MIN(E176,Einstellungen!$B$15-(SUMIFS($E$13:$E176,$H$13:$H176,H176)-E176)))))</f>
        <v/>
      </c>
      <c r="M176" s="59" t="str">
        <f t="shared" si="15"/>
        <v/>
      </c>
      <c r="N176" s="59" t="str">
        <f t="shared" si="16"/>
        <v/>
      </c>
      <c r="O176" s="59" t="str">
        <f>IF(A176="","",IF(Einstellungen!$B$15="","",Einstellungen!$B$15-N176))</f>
        <v/>
      </c>
    </row>
    <row r="177" spans="1:15" ht="54" customHeight="1">
      <c r="A177" s="54"/>
      <c r="B177" s="13"/>
      <c r="C177" s="13"/>
      <c r="D177" s="13"/>
      <c r="E177" s="46"/>
      <c r="F177" s="46" t="str">
        <f>IF(A177="","",Einstellungen!$B$5)</f>
        <v/>
      </c>
      <c r="G177" s="47" t="str">
        <f t="shared" si="13"/>
        <v/>
      </c>
      <c r="H177" s="14" t="str">
        <f t="shared" si="14"/>
        <v/>
      </c>
      <c r="I177" s="13" t="str">
        <f t="shared" si="17"/>
        <v/>
      </c>
      <c r="J177" s="13"/>
      <c r="K177" s="13"/>
      <c r="L177" s="59" t="str">
        <f>IF(A177="","",IF(Einstellungen!$B$15="","",MAX(0,MIN(E177,Einstellungen!$B$15-(SUMIFS($E$13:$E177,$H$13:$H177,H177)-E177)))))</f>
        <v/>
      </c>
      <c r="M177" s="59" t="str">
        <f t="shared" si="15"/>
        <v/>
      </c>
      <c r="N177" s="59" t="str">
        <f t="shared" si="16"/>
        <v/>
      </c>
      <c r="O177" s="59" t="str">
        <f>IF(A177="","",IF(Einstellungen!$B$15="","",Einstellungen!$B$15-N177))</f>
        <v/>
      </c>
    </row>
    <row r="178" spans="1:15" ht="54" customHeight="1">
      <c r="A178" s="54"/>
      <c r="B178" s="13"/>
      <c r="C178" s="13"/>
      <c r="D178" s="13"/>
      <c r="E178" s="46"/>
      <c r="F178" s="46" t="str">
        <f>IF(A178="","",Einstellungen!$B$5)</f>
        <v/>
      </c>
      <c r="G178" s="47" t="str">
        <f t="shared" si="13"/>
        <v/>
      </c>
      <c r="H178" s="14" t="str">
        <f t="shared" si="14"/>
        <v/>
      </c>
      <c r="I178" s="13" t="str">
        <f t="shared" si="17"/>
        <v/>
      </c>
      <c r="J178" s="13"/>
      <c r="K178" s="13"/>
      <c r="L178" s="59" t="str">
        <f>IF(A178="","",IF(Einstellungen!$B$15="","",MAX(0,MIN(E178,Einstellungen!$B$15-(SUMIFS($E$13:$E178,$H$13:$H178,H178)-E178)))))</f>
        <v/>
      </c>
      <c r="M178" s="59" t="str">
        <f t="shared" si="15"/>
        <v/>
      </c>
      <c r="N178" s="59" t="str">
        <f t="shared" si="16"/>
        <v/>
      </c>
      <c r="O178" s="59" t="str">
        <f>IF(A178="","",IF(Einstellungen!$B$15="","",Einstellungen!$B$15-N178))</f>
        <v/>
      </c>
    </row>
    <row r="179" spans="1:15" ht="54" customHeight="1">
      <c r="A179" s="54"/>
      <c r="B179" s="13"/>
      <c r="C179" s="13"/>
      <c r="D179" s="13"/>
      <c r="E179" s="46"/>
      <c r="F179" s="46" t="str">
        <f>IF(A179="","",Einstellungen!$B$5)</f>
        <v/>
      </c>
      <c r="G179" s="47" t="str">
        <f t="shared" si="13"/>
        <v/>
      </c>
      <c r="H179" s="14" t="str">
        <f t="shared" si="14"/>
        <v/>
      </c>
      <c r="I179" s="13" t="str">
        <f t="shared" si="17"/>
        <v/>
      </c>
      <c r="J179" s="13"/>
      <c r="K179" s="13"/>
      <c r="L179" s="59" t="str">
        <f>IF(A179="","",IF(Einstellungen!$B$15="","",MAX(0,MIN(E179,Einstellungen!$B$15-(SUMIFS($E$13:$E179,$H$13:$H179,H179)-E179)))))</f>
        <v/>
      </c>
      <c r="M179" s="59" t="str">
        <f t="shared" si="15"/>
        <v/>
      </c>
      <c r="N179" s="59" t="str">
        <f t="shared" si="16"/>
        <v/>
      </c>
      <c r="O179" s="59" t="str">
        <f>IF(A179="","",IF(Einstellungen!$B$15="","",Einstellungen!$B$15-N179))</f>
        <v/>
      </c>
    </row>
    <row r="180" spans="1:15" ht="54" customHeight="1">
      <c r="A180" s="54"/>
      <c r="B180" s="13"/>
      <c r="C180" s="13"/>
      <c r="D180" s="13"/>
      <c r="E180" s="46"/>
      <c r="F180" s="46" t="str">
        <f>IF(A180="","",Einstellungen!$B$5)</f>
        <v/>
      </c>
      <c r="G180" s="47" t="str">
        <f t="shared" si="13"/>
        <v/>
      </c>
      <c r="H180" s="14" t="str">
        <f t="shared" si="14"/>
        <v/>
      </c>
      <c r="I180" s="13" t="str">
        <f t="shared" si="17"/>
        <v/>
      </c>
      <c r="J180" s="13"/>
      <c r="K180" s="13"/>
      <c r="L180" s="59" t="str">
        <f>IF(A180="","",IF(Einstellungen!$B$15="","",MAX(0,MIN(E180,Einstellungen!$B$15-(SUMIFS($E$13:$E180,$H$13:$H180,H180)-E180)))))</f>
        <v/>
      </c>
      <c r="M180" s="59" t="str">
        <f t="shared" si="15"/>
        <v/>
      </c>
      <c r="N180" s="59" t="str">
        <f t="shared" si="16"/>
        <v/>
      </c>
      <c r="O180" s="59" t="str">
        <f>IF(A180="","",IF(Einstellungen!$B$15="","",Einstellungen!$B$15-N180))</f>
        <v/>
      </c>
    </row>
    <row r="181" spans="1:15" ht="54" customHeight="1">
      <c r="A181" s="54"/>
      <c r="B181" s="13"/>
      <c r="C181" s="13"/>
      <c r="D181" s="13"/>
      <c r="E181" s="46"/>
      <c r="F181" s="46" t="str">
        <f>IF(A181="","",Einstellungen!$B$5)</f>
        <v/>
      </c>
      <c r="G181" s="47" t="str">
        <f t="shared" si="13"/>
        <v/>
      </c>
      <c r="H181" s="14" t="str">
        <f t="shared" si="14"/>
        <v/>
      </c>
      <c r="I181" s="13" t="str">
        <f t="shared" si="17"/>
        <v/>
      </c>
      <c r="J181" s="13"/>
      <c r="K181" s="13"/>
      <c r="L181" s="59" t="str">
        <f>IF(A181="","",IF(Einstellungen!$B$15="","",MAX(0,MIN(E181,Einstellungen!$B$15-(SUMIFS($E$13:$E181,$H$13:$H181,H181)-E181)))))</f>
        <v/>
      </c>
      <c r="M181" s="59" t="str">
        <f t="shared" si="15"/>
        <v/>
      </c>
      <c r="N181" s="59" t="str">
        <f t="shared" si="16"/>
        <v/>
      </c>
      <c r="O181" s="59" t="str">
        <f>IF(A181="","",IF(Einstellungen!$B$15="","",Einstellungen!$B$15-N181))</f>
        <v/>
      </c>
    </row>
    <row r="182" spans="1:15" ht="54" customHeight="1">
      <c r="A182" s="54"/>
      <c r="B182" s="13"/>
      <c r="C182" s="13"/>
      <c r="D182" s="13"/>
      <c r="E182" s="46"/>
      <c r="F182" s="46" t="str">
        <f>IF(A182="","",Einstellungen!$B$5)</f>
        <v/>
      </c>
      <c r="G182" s="47" t="str">
        <f t="shared" si="13"/>
        <v/>
      </c>
      <c r="H182" s="14" t="str">
        <f t="shared" si="14"/>
        <v/>
      </c>
      <c r="I182" s="13" t="str">
        <f t="shared" si="17"/>
        <v/>
      </c>
      <c r="J182" s="13"/>
      <c r="K182" s="13"/>
      <c r="L182" s="59" t="str">
        <f>IF(A182="","",IF(Einstellungen!$B$15="","",MAX(0,MIN(E182,Einstellungen!$B$15-(SUMIFS($E$13:$E182,$H$13:$H182,H182)-E182)))))</f>
        <v/>
      </c>
      <c r="M182" s="59" t="str">
        <f t="shared" si="15"/>
        <v/>
      </c>
      <c r="N182" s="59" t="str">
        <f t="shared" si="16"/>
        <v/>
      </c>
      <c r="O182" s="59" t="str">
        <f>IF(A182="","",IF(Einstellungen!$B$15="","",Einstellungen!$B$15-N182))</f>
        <v/>
      </c>
    </row>
    <row r="183" spans="1:15" ht="54" customHeight="1">
      <c r="A183" s="54"/>
      <c r="B183" s="13"/>
      <c r="C183" s="13"/>
      <c r="D183" s="13"/>
      <c r="E183" s="46"/>
      <c r="F183" s="46" t="str">
        <f>IF(A183="","",Einstellungen!$B$5)</f>
        <v/>
      </c>
      <c r="G183" s="47" t="str">
        <f t="shared" si="13"/>
        <v/>
      </c>
      <c r="H183" s="14" t="str">
        <f t="shared" si="14"/>
        <v/>
      </c>
      <c r="I183" s="13" t="str">
        <f t="shared" si="17"/>
        <v/>
      </c>
      <c r="J183" s="13"/>
      <c r="K183" s="13"/>
      <c r="L183" s="59" t="str">
        <f>IF(A183="","",IF(Einstellungen!$B$15="","",MAX(0,MIN(E183,Einstellungen!$B$15-(SUMIFS($E$13:$E183,$H$13:$H183,H183)-E183)))))</f>
        <v/>
      </c>
      <c r="M183" s="59" t="str">
        <f t="shared" si="15"/>
        <v/>
      </c>
      <c r="N183" s="59" t="str">
        <f t="shared" si="16"/>
        <v/>
      </c>
      <c r="O183" s="59" t="str">
        <f>IF(A183="","",IF(Einstellungen!$B$15="","",Einstellungen!$B$15-N183))</f>
        <v/>
      </c>
    </row>
    <row r="184" spans="1:15" ht="54" customHeight="1">
      <c r="A184" s="54"/>
      <c r="B184" s="13"/>
      <c r="C184" s="13"/>
      <c r="D184" s="13"/>
      <c r="E184" s="46"/>
      <c r="F184" s="46" t="str">
        <f>IF(A184="","",Einstellungen!$B$5)</f>
        <v/>
      </c>
      <c r="G184" s="47" t="str">
        <f t="shared" si="13"/>
        <v/>
      </c>
      <c r="H184" s="14" t="str">
        <f t="shared" si="14"/>
        <v/>
      </c>
      <c r="I184" s="13" t="str">
        <f t="shared" si="17"/>
        <v/>
      </c>
      <c r="J184" s="13"/>
      <c r="K184" s="13"/>
      <c r="L184" s="59" t="str">
        <f>IF(A184="","",IF(Einstellungen!$B$15="","",MAX(0,MIN(E184,Einstellungen!$B$15-(SUMIFS($E$13:$E184,$H$13:$H184,H184)-E184)))))</f>
        <v/>
      </c>
      <c r="M184" s="59" t="str">
        <f t="shared" si="15"/>
        <v/>
      </c>
      <c r="N184" s="59" t="str">
        <f t="shared" si="16"/>
        <v/>
      </c>
      <c r="O184" s="59" t="str">
        <f>IF(A184="","",IF(Einstellungen!$B$15="","",Einstellungen!$B$15-N184))</f>
        <v/>
      </c>
    </row>
    <row r="185" spans="1:15" ht="54" customHeight="1">
      <c r="A185" s="54"/>
      <c r="B185" s="13"/>
      <c r="C185" s="13"/>
      <c r="D185" s="13"/>
      <c r="E185" s="46"/>
      <c r="F185" s="46" t="str">
        <f>IF(A185="","",Einstellungen!$B$5)</f>
        <v/>
      </c>
      <c r="G185" s="47" t="str">
        <f t="shared" si="13"/>
        <v/>
      </c>
      <c r="H185" s="14" t="str">
        <f t="shared" si="14"/>
        <v/>
      </c>
      <c r="I185" s="13" t="str">
        <f t="shared" si="17"/>
        <v/>
      </c>
      <c r="J185" s="13"/>
      <c r="K185" s="13"/>
      <c r="L185" s="59" t="str">
        <f>IF(A185="","",IF(Einstellungen!$B$15="","",MAX(0,MIN(E185,Einstellungen!$B$15-(SUMIFS($E$13:$E185,$H$13:$H185,H185)-E185)))))</f>
        <v/>
      </c>
      <c r="M185" s="59" t="str">
        <f t="shared" si="15"/>
        <v/>
      </c>
      <c r="N185" s="59" t="str">
        <f t="shared" si="16"/>
        <v/>
      </c>
      <c r="O185" s="59" t="str">
        <f>IF(A185="","",IF(Einstellungen!$B$15="","",Einstellungen!$B$15-N185))</f>
        <v/>
      </c>
    </row>
    <row r="186" spans="1:15" ht="54" customHeight="1">
      <c r="A186" s="54"/>
      <c r="B186" s="13"/>
      <c r="C186" s="13"/>
      <c r="D186" s="13"/>
      <c r="E186" s="46"/>
      <c r="F186" s="46" t="str">
        <f>IF(A186="","",Einstellungen!$B$5)</f>
        <v/>
      </c>
      <c r="G186" s="47" t="str">
        <f t="shared" si="13"/>
        <v/>
      </c>
      <c r="H186" s="14" t="str">
        <f t="shared" si="14"/>
        <v/>
      </c>
      <c r="I186" s="13" t="str">
        <f t="shared" si="17"/>
        <v/>
      </c>
      <c r="J186" s="13"/>
      <c r="K186" s="13"/>
      <c r="L186" s="59" t="str">
        <f>IF(A186="","",IF(Einstellungen!$B$15="","",MAX(0,MIN(E186,Einstellungen!$B$15-(SUMIFS($E$13:$E186,$H$13:$H186,H186)-E186)))))</f>
        <v/>
      </c>
      <c r="M186" s="59" t="str">
        <f t="shared" si="15"/>
        <v/>
      </c>
      <c r="N186" s="59" t="str">
        <f t="shared" si="16"/>
        <v/>
      </c>
      <c r="O186" s="59" t="str">
        <f>IF(A186="","",IF(Einstellungen!$B$15="","",Einstellungen!$B$15-N186))</f>
        <v/>
      </c>
    </row>
    <row r="187" spans="1:15" ht="54" customHeight="1">
      <c r="A187" s="54"/>
      <c r="B187" s="13"/>
      <c r="C187" s="13"/>
      <c r="D187" s="13"/>
      <c r="E187" s="46"/>
      <c r="F187" s="46" t="str">
        <f>IF(A187="","",Einstellungen!$B$5)</f>
        <v/>
      </c>
      <c r="G187" s="47" t="str">
        <f t="shared" si="13"/>
        <v/>
      </c>
      <c r="H187" s="14" t="str">
        <f t="shared" si="14"/>
        <v/>
      </c>
      <c r="I187" s="13" t="str">
        <f t="shared" si="17"/>
        <v/>
      </c>
      <c r="J187" s="13"/>
      <c r="K187" s="13"/>
      <c r="L187" s="59" t="str">
        <f>IF(A187="","",IF(Einstellungen!$B$15="","",MAX(0,MIN(E187,Einstellungen!$B$15-(SUMIFS($E$13:$E187,$H$13:$H187,H187)-E187)))))</f>
        <v/>
      </c>
      <c r="M187" s="59" t="str">
        <f t="shared" si="15"/>
        <v/>
      </c>
      <c r="N187" s="59" t="str">
        <f t="shared" si="16"/>
        <v/>
      </c>
      <c r="O187" s="59" t="str">
        <f>IF(A187="","",IF(Einstellungen!$B$15="","",Einstellungen!$B$15-N187))</f>
        <v/>
      </c>
    </row>
    <row r="188" spans="1:15" ht="54" customHeight="1">
      <c r="A188" s="54"/>
      <c r="B188" s="13"/>
      <c r="C188" s="13"/>
      <c r="D188" s="13"/>
      <c r="E188" s="46"/>
      <c r="F188" s="46" t="str">
        <f>IF(A188="","",Einstellungen!$B$5)</f>
        <v/>
      </c>
      <c r="G188" s="47" t="str">
        <f t="shared" si="13"/>
        <v/>
      </c>
      <c r="H188" s="14" t="str">
        <f t="shared" si="14"/>
        <v/>
      </c>
      <c r="I188" s="13" t="str">
        <f t="shared" si="17"/>
        <v/>
      </c>
      <c r="J188" s="13"/>
      <c r="K188" s="13"/>
      <c r="L188" s="59" t="str">
        <f>IF(A188="","",IF(Einstellungen!$B$15="","",MAX(0,MIN(E188,Einstellungen!$B$15-(SUMIFS($E$13:$E188,$H$13:$H188,H188)-E188)))))</f>
        <v/>
      </c>
      <c r="M188" s="59" t="str">
        <f t="shared" si="15"/>
        <v/>
      </c>
      <c r="N188" s="59" t="str">
        <f t="shared" si="16"/>
        <v/>
      </c>
      <c r="O188" s="59" t="str">
        <f>IF(A188="","",IF(Einstellungen!$B$15="","",Einstellungen!$B$15-N188))</f>
        <v/>
      </c>
    </row>
    <row r="189" spans="1:15" ht="54" customHeight="1">
      <c r="A189" s="54"/>
      <c r="B189" s="13"/>
      <c r="C189" s="13"/>
      <c r="D189" s="13"/>
      <c r="E189" s="46"/>
      <c r="F189" s="46" t="str">
        <f>IF(A189="","",Einstellungen!$B$5)</f>
        <v/>
      </c>
      <c r="G189" s="47" t="str">
        <f t="shared" si="13"/>
        <v/>
      </c>
      <c r="H189" s="14" t="str">
        <f t="shared" si="14"/>
        <v/>
      </c>
      <c r="I189" s="13" t="str">
        <f t="shared" si="17"/>
        <v/>
      </c>
      <c r="J189" s="13"/>
      <c r="K189" s="13"/>
      <c r="L189" s="59" t="str">
        <f>IF(A189="","",IF(Einstellungen!$B$15="","",MAX(0,MIN(E189,Einstellungen!$B$15-(SUMIFS($E$13:$E189,$H$13:$H189,H189)-E189)))))</f>
        <v/>
      </c>
      <c r="M189" s="59" t="str">
        <f t="shared" si="15"/>
        <v/>
      </c>
      <c r="N189" s="59" t="str">
        <f t="shared" si="16"/>
        <v/>
      </c>
      <c r="O189" s="59" t="str">
        <f>IF(A189="","",IF(Einstellungen!$B$15="","",Einstellungen!$B$15-N189))</f>
        <v/>
      </c>
    </row>
    <row r="190" spans="1:15" ht="54" customHeight="1">
      <c r="A190" s="54"/>
      <c r="B190" s="13"/>
      <c r="C190" s="13"/>
      <c r="D190" s="13"/>
      <c r="E190" s="46"/>
      <c r="F190" s="46" t="str">
        <f>IF(A190="","",Einstellungen!$B$5)</f>
        <v/>
      </c>
      <c r="G190" s="47" t="str">
        <f t="shared" si="13"/>
        <v/>
      </c>
      <c r="H190" s="14" t="str">
        <f t="shared" si="14"/>
        <v/>
      </c>
      <c r="I190" s="13" t="str">
        <f t="shared" si="17"/>
        <v/>
      </c>
      <c r="J190" s="13"/>
      <c r="K190" s="13"/>
      <c r="L190" s="59" t="str">
        <f>IF(A190="","",IF(Einstellungen!$B$15="","",MAX(0,MIN(E190,Einstellungen!$B$15-(SUMIFS($E$13:$E190,$H$13:$H190,H190)-E190)))))</f>
        <v/>
      </c>
      <c r="M190" s="59" t="str">
        <f t="shared" si="15"/>
        <v/>
      </c>
      <c r="N190" s="59" t="str">
        <f t="shared" si="16"/>
        <v/>
      </c>
      <c r="O190" s="59" t="str">
        <f>IF(A190="","",IF(Einstellungen!$B$15="","",Einstellungen!$B$15-N190))</f>
        <v/>
      </c>
    </row>
    <row r="191" spans="1:15" ht="54" customHeight="1">
      <c r="A191" s="54"/>
      <c r="B191" s="13"/>
      <c r="C191" s="13"/>
      <c r="D191" s="13"/>
      <c r="E191" s="46"/>
      <c r="F191" s="46" t="str">
        <f>IF(A191="","",Einstellungen!$B$5)</f>
        <v/>
      </c>
      <c r="G191" s="47" t="str">
        <f t="shared" si="13"/>
        <v/>
      </c>
      <c r="H191" s="14" t="str">
        <f t="shared" si="14"/>
        <v/>
      </c>
      <c r="I191" s="13" t="str">
        <f t="shared" si="17"/>
        <v/>
      </c>
      <c r="J191" s="13"/>
      <c r="K191" s="13"/>
      <c r="L191" s="59" t="str">
        <f>IF(A191="","",IF(Einstellungen!$B$15="","",MAX(0,MIN(E191,Einstellungen!$B$15-(SUMIFS($E$13:$E191,$H$13:$H191,H191)-E191)))))</f>
        <v/>
      </c>
      <c r="M191" s="59" t="str">
        <f t="shared" si="15"/>
        <v/>
      </c>
      <c r="N191" s="59" t="str">
        <f t="shared" si="16"/>
        <v/>
      </c>
      <c r="O191" s="59" t="str">
        <f>IF(A191="","",IF(Einstellungen!$B$15="","",Einstellungen!$B$15-N191))</f>
        <v/>
      </c>
    </row>
    <row r="192" spans="1:15" ht="54" customHeight="1">
      <c r="A192" s="54"/>
      <c r="B192" s="13"/>
      <c r="C192" s="13"/>
      <c r="D192" s="13"/>
      <c r="E192" s="46"/>
      <c r="F192" s="46" t="str">
        <f>IF(A192="","",Einstellungen!$B$5)</f>
        <v/>
      </c>
      <c r="G192" s="47" t="str">
        <f t="shared" si="13"/>
        <v/>
      </c>
      <c r="H192" s="14" t="str">
        <f t="shared" si="14"/>
        <v/>
      </c>
      <c r="I192" s="13" t="str">
        <f t="shared" si="17"/>
        <v/>
      </c>
      <c r="J192" s="13"/>
      <c r="K192" s="13"/>
      <c r="L192" s="59" t="str">
        <f>IF(A192="","",IF(Einstellungen!$B$15="","",MAX(0,MIN(E192,Einstellungen!$B$15-(SUMIFS($E$13:$E192,$H$13:$H192,H192)-E192)))))</f>
        <v/>
      </c>
      <c r="M192" s="59" t="str">
        <f t="shared" si="15"/>
        <v/>
      </c>
      <c r="N192" s="59" t="str">
        <f t="shared" si="16"/>
        <v/>
      </c>
      <c r="O192" s="59" t="str">
        <f>IF(A192="","",IF(Einstellungen!$B$15="","",Einstellungen!$B$15-N192))</f>
        <v/>
      </c>
    </row>
    <row r="193" spans="1:15" ht="54" customHeight="1">
      <c r="A193" s="54"/>
      <c r="B193" s="13"/>
      <c r="C193" s="13"/>
      <c r="D193" s="13"/>
      <c r="E193" s="46"/>
      <c r="F193" s="46" t="str">
        <f>IF(A193="","",Einstellungen!$B$5)</f>
        <v/>
      </c>
      <c r="G193" s="47" t="str">
        <f t="shared" si="13"/>
        <v/>
      </c>
      <c r="H193" s="14" t="str">
        <f t="shared" si="14"/>
        <v/>
      </c>
      <c r="I193" s="13" t="str">
        <f t="shared" si="17"/>
        <v/>
      </c>
      <c r="J193" s="13"/>
      <c r="K193" s="13"/>
      <c r="L193" s="59" t="str">
        <f>IF(A193="","",IF(Einstellungen!$B$15="","",MAX(0,MIN(E193,Einstellungen!$B$15-(SUMIFS($E$13:$E193,$H$13:$H193,H193)-E193)))))</f>
        <v/>
      </c>
      <c r="M193" s="59" t="str">
        <f t="shared" si="15"/>
        <v/>
      </c>
      <c r="N193" s="59" t="str">
        <f t="shared" si="16"/>
        <v/>
      </c>
      <c r="O193" s="59" t="str">
        <f>IF(A193="","",IF(Einstellungen!$B$15="","",Einstellungen!$B$15-N193))</f>
        <v/>
      </c>
    </row>
    <row r="194" spans="1:15" ht="54" customHeight="1">
      <c r="A194" s="54"/>
      <c r="B194" s="13"/>
      <c r="C194" s="13"/>
      <c r="D194" s="13"/>
      <c r="E194" s="46"/>
      <c r="F194" s="46" t="str">
        <f>IF(A194="","",Einstellungen!$B$5)</f>
        <v/>
      </c>
      <c r="G194" s="47" t="str">
        <f t="shared" si="13"/>
        <v/>
      </c>
      <c r="H194" s="14" t="str">
        <f t="shared" si="14"/>
        <v/>
      </c>
      <c r="I194" s="13" t="str">
        <f t="shared" si="17"/>
        <v/>
      </c>
      <c r="J194" s="13"/>
      <c r="K194" s="13"/>
      <c r="L194" s="59" t="str">
        <f>IF(A194="","",IF(Einstellungen!$B$15="","",MAX(0,MIN(E194,Einstellungen!$B$15-(SUMIFS($E$13:$E194,$H$13:$H194,H194)-E194)))))</f>
        <v/>
      </c>
      <c r="M194" s="59" t="str">
        <f t="shared" si="15"/>
        <v/>
      </c>
      <c r="N194" s="59" t="str">
        <f t="shared" si="16"/>
        <v/>
      </c>
      <c r="O194" s="59" t="str">
        <f>IF(A194="","",IF(Einstellungen!$B$15="","",Einstellungen!$B$15-N194))</f>
        <v/>
      </c>
    </row>
    <row r="195" spans="1:15" ht="54" customHeight="1">
      <c r="A195" s="54"/>
      <c r="B195" s="13"/>
      <c r="C195" s="13"/>
      <c r="D195" s="13"/>
      <c r="E195" s="46"/>
      <c r="F195" s="46" t="str">
        <f>IF(A195="","",Einstellungen!$B$5)</f>
        <v/>
      </c>
      <c r="G195" s="47" t="str">
        <f t="shared" si="13"/>
        <v/>
      </c>
      <c r="H195" s="14" t="str">
        <f t="shared" si="14"/>
        <v/>
      </c>
      <c r="I195" s="13" t="str">
        <f t="shared" ref="I195:I214" si="18">IF(A195="","",TEXT(A195,"[$-de-DE]MMMM YYYY"))</f>
        <v/>
      </c>
      <c r="J195" s="13"/>
      <c r="K195" s="13"/>
      <c r="L195" s="59" t="str">
        <f>IF(A195="","",IF(Einstellungen!$B$15="","",MAX(0,MIN(E195,Einstellungen!$B$15-(SUMIFS($E$13:$E195,$H$13:$H195,H195)-E195)))))</f>
        <v/>
      </c>
      <c r="M195" s="59" t="str">
        <f t="shared" si="15"/>
        <v/>
      </c>
      <c r="N195" s="59" t="str">
        <f t="shared" si="16"/>
        <v/>
      </c>
      <c r="O195" s="59" t="str">
        <f>IF(A195="","",IF(Einstellungen!$B$15="","",Einstellungen!$B$15-N195))</f>
        <v/>
      </c>
    </row>
    <row r="196" spans="1:15" ht="54" customHeight="1">
      <c r="A196" s="54"/>
      <c r="B196" s="13"/>
      <c r="C196" s="13"/>
      <c r="D196" s="13"/>
      <c r="E196" s="46"/>
      <c r="F196" s="46" t="str">
        <f>IF(A196="","",Einstellungen!$B$5)</f>
        <v/>
      </c>
      <c r="G196" s="47" t="str">
        <f t="shared" si="13"/>
        <v/>
      </c>
      <c r="H196" s="14" t="str">
        <f t="shared" si="14"/>
        <v/>
      </c>
      <c r="I196" s="13" t="str">
        <f t="shared" si="18"/>
        <v/>
      </c>
      <c r="J196" s="13"/>
      <c r="K196" s="13"/>
      <c r="L196" s="59" t="str">
        <f>IF(A196="","",IF(Einstellungen!$B$15="","",MAX(0,MIN(E196,Einstellungen!$B$15-(SUMIFS($E$13:$E196,$H$13:$H196,H196)-E196)))))</f>
        <v/>
      </c>
      <c r="M196" s="59" t="str">
        <f t="shared" si="15"/>
        <v/>
      </c>
      <c r="N196" s="59" t="str">
        <f t="shared" si="16"/>
        <v/>
      </c>
      <c r="O196" s="59" t="str">
        <f>IF(A196="","",IF(Einstellungen!$B$15="","",Einstellungen!$B$15-N196))</f>
        <v/>
      </c>
    </row>
    <row r="197" spans="1:15" ht="54" customHeight="1">
      <c r="A197" s="54"/>
      <c r="B197" s="13"/>
      <c r="C197" s="13"/>
      <c r="D197" s="13"/>
      <c r="E197" s="46"/>
      <c r="F197" s="46" t="str">
        <f>IF(A197="","",Einstellungen!$B$5)</f>
        <v/>
      </c>
      <c r="G197" s="47" t="str">
        <f t="shared" si="13"/>
        <v/>
      </c>
      <c r="H197" s="14" t="str">
        <f t="shared" si="14"/>
        <v/>
      </c>
      <c r="I197" s="13" t="str">
        <f t="shared" si="18"/>
        <v/>
      </c>
      <c r="J197" s="13"/>
      <c r="K197" s="13"/>
      <c r="L197" s="59" t="str">
        <f>IF(A197="","",IF(Einstellungen!$B$15="","",MAX(0,MIN(E197,Einstellungen!$B$15-(SUMIFS($E$13:$E197,$H$13:$H197,H197)-E197)))))</f>
        <v/>
      </c>
      <c r="M197" s="59" t="str">
        <f t="shared" si="15"/>
        <v/>
      </c>
      <c r="N197" s="59" t="str">
        <f t="shared" si="16"/>
        <v/>
      </c>
      <c r="O197" s="59" t="str">
        <f>IF(A197="","",IF(Einstellungen!$B$15="","",Einstellungen!$B$15-N197))</f>
        <v/>
      </c>
    </row>
    <row r="198" spans="1:15" ht="54" customHeight="1">
      <c r="A198" s="54"/>
      <c r="B198" s="13"/>
      <c r="C198" s="13"/>
      <c r="D198" s="13"/>
      <c r="E198" s="46"/>
      <c r="F198" s="46" t="str">
        <f>IF(A198="","",Einstellungen!$B$5)</f>
        <v/>
      </c>
      <c r="G198" s="47" t="str">
        <f t="shared" si="13"/>
        <v/>
      </c>
      <c r="H198" s="14" t="str">
        <f t="shared" si="14"/>
        <v/>
      </c>
      <c r="I198" s="13" t="str">
        <f t="shared" si="18"/>
        <v/>
      </c>
      <c r="J198" s="13"/>
      <c r="K198" s="13"/>
      <c r="L198" s="59" t="str">
        <f>IF(A198="","",IF(Einstellungen!$B$15="","",MAX(0,MIN(E198,Einstellungen!$B$15-(SUMIFS($E$13:$E198,$H$13:$H198,H198)-E198)))))</f>
        <v/>
      </c>
      <c r="M198" s="59" t="str">
        <f t="shared" si="15"/>
        <v/>
      </c>
      <c r="N198" s="59" t="str">
        <f t="shared" si="16"/>
        <v/>
      </c>
      <c r="O198" s="59" t="str">
        <f>IF(A198="","",IF(Einstellungen!$B$15="","",Einstellungen!$B$15-N198))</f>
        <v/>
      </c>
    </row>
    <row r="199" spans="1:15" ht="54" customHeight="1">
      <c r="A199" s="54"/>
      <c r="B199" s="13"/>
      <c r="C199" s="13"/>
      <c r="D199" s="13"/>
      <c r="E199" s="46"/>
      <c r="F199" s="46" t="str">
        <f>IF(A199="","",Einstellungen!$B$5)</f>
        <v/>
      </c>
      <c r="G199" s="47" t="str">
        <f t="shared" si="13"/>
        <v/>
      </c>
      <c r="H199" s="14" t="str">
        <f t="shared" si="14"/>
        <v/>
      </c>
      <c r="I199" s="13" t="str">
        <f t="shared" si="18"/>
        <v/>
      </c>
      <c r="J199" s="13"/>
      <c r="K199" s="13"/>
      <c r="L199" s="59" t="str">
        <f>IF(A199="","",IF(Einstellungen!$B$15="","",MAX(0,MIN(E199,Einstellungen!$B$15-(SUMIFS($E$13:$E199,$H$13:$H199,H199)-E199)))))</f>
        <v/>
      </c>
      <c r="M199" s="59" t="str">
        <f t="shared" si="15"/>
        <v/>
      </c>
      <c r="N199" s="59" t="str">
        <f t="shared" si="16"/>
        <v/>
      </c>
      <c r="O199" s="59" t="str">
        <f>IF(A199="","",IF(Einstellungen!$B$15="","",Einstellungen!$B$15-N199))</f>
        <v/>
      </c>
    </row>
    <row r="200" spans="1:15" ht="54" customHeight="1">
      <c r="A200" s="54"/>
      <c r="B200" s="13"/>
      <c r="C200" s="13"/>
      <c r="D200" s="13"/>
      <c r="E200" s="46"/>
      <c r="F200" s="46" t="str">
        <f>IF(A200="","",Einstellungen!$B$5)</f>
        <v/>
      </c>
      <c r="G200" s="47" t="str">
        <f t="shared" si="13"/>
        <v/>
      </c>
      <c r="H200" s="14" t="str">
        <f t="shared" si="14"/>
        <v/>
      </c>
      <c r="I200" s="13" t="str">
        <f t="shared" si="18"/>
        <v/>
      </c>
      <c r="J200" s="13"/>
      <c r="K200" s="13"/>
      <c r="L200" s="59" t="str">
        <f>IF(A200="","",IF(Einstellungen!$B$15="","",MAX(0,MIN(E200,Einstellungen!$B$15-(SUMIFS($E$13:$E200,$H$13:$H200,H200)-E200)))))</f>
        <v/>
      </c>
      <c r="M200" s="59" t="str">
        <f t="shared" si="15"/>
        <v/>
      </c>
      <c r="N200" s="59" t="str">
        <f t="shared" si="16"/>
        <v/>
      </c>
      <c r="O200" s="59" t="str">
        <f>IF(A200="","",IF(Einstellungen!$B$15="","",Einstellungen!$B$15-N200))</f>
        <v/>
      </c>
    </row>
    <row r="201" spans="1:15" ht="54" customHeight="1">
      <c r="A201" s="54"/>
      <c r="B201" s="13"/>
      <c r="C201" s="13"/>
      <c r="D201" s="13"/>
      <c r="E201" s="46"/>
      <c r="F201" s="46" t="str">
        <f>IF(A201="","",Einstellungen!$B$5)</f>
        <v/>
      </c>
      <c r="G201" s="47" t="str">
        <f t="shared" si="13"/>
        <v/>
      </c>
      <c r="H201" s="14" t="str">
        <f t="shared" si="14"/>
        <v/>
      </c>
      <c r="I201" s="13" t="str">
        <f t="shared" si="18"/>
        <v/>
      </c>
      <c r="J201" s="13"/>
      <c r="K201" s="13"/>
      <c r="L201" s="59" t="str">
        <f>IF(A201="","",IF(Einstellungen!$B$15="","",MAX(0,MIN(E201,Einstellungen!$B$15-(SUMIFS($E$13:$E201,$H$13:$H201,H201)-E201)))))</f>
        <v/>
      </c>
      <c r="M201" s="59" t="str">
        <f t="shared" si="15"/>
        <v/>
      </c>
      <c r="N201" s="59" t="str">
        <f t="shared" si="16"/>
        <v/>
      </c>
      <c r="O201" s="59" t="str">
        <f>IF(A201="","",IF(Einstellungen!$B$15="","",Einstellungen!$B$15-N201))</f>
        <v/>
      </c>
    </row>
    <row r="202" spans="1:15" ht="54" customHeight="1">
      <c r="A202" s="54"/>
      <c r="B202" s="13"/>
      <c r="C202" s="13"/>
      <c r="D202" s="13"/>
      <c r="E202" s="46"/>
      <c r="F202" s="46" t="str">
        <f>IF(A202="","",Einstellungen!$B$5)</f>
        <v/>
      </c>
      <c r="G202" s="47" t="str">
        <f t="shared" si="13"/>
        <v/>
      </c>
      <c r="H202" s="14" t="str">
        <f t="shared" si="14"/>
        <v/>
      </c>
      <c r="I202" s="13" t="str">
        <f t="shared" si="18"/>
        <v/>
      </c>
      <c r="J202" s="13"/>
      <c r="K202" s="13"/>
      <c r="L202" s="59" t="str">
        <f>IF(A202="","",IF(Einstellungen!$B$15="","",MAX(0,MIN(E202,Einstellungen!$B$15-(SUMIFS($E$13:$E202,$H$13:$H202,H202)-E202)))))</f>
        <v/>
      </c>
      <c r="M202" s="59" t="str">
        <f t="shared" si="15"/>
        <v/>
      </c>
      <c r="N202" s="59" t="str">
        <f t="shared" si="16"/>
        <v/>
      </c>
      <c r="O202" s="59" t="str">
        <f>IF(A202="","",IF(Einstellungen!$B$15="","",Einstellungen!$B$15-N202))</f>
        <v/>
      </c>
    </row>
    <row r="203" spans="1:15" ht="54" customHeight="1">
      <c r="A203" s="54"/>
      <c r="B203" s="13"/>
      <c r="C203" s="13"/>
      <c r="D203" s="13"/>
      <c r="E203" s="46"/>
      <c r="F203" s="46" t="str">
        <f>IF(A203="","",Einstellungen!$B$5)</f>
        <v/>
      </c>
      <c r="G203" s="47" t="str">
        <f t="shared" si="13"/>
        <v/>
      </c>
      <c r="H203" s="14" t="str">
        <f t="shared" si="14"/>
        <v/>
      </c>
      <c r="I203" s="13" t="str">
        <f t="shared" si="18"/>
        <v/>
      </c>
      <c r="J203" s="13"/>
      <c r="K203" s="13"/>
      <c r="L203" s="59" t="str">
        <f>IF(A203="","",IF(Einstellungen!$B$15="","",MAX(0,MIN(E203,Einstellungen!$B$15-(SUMIFS($E$13:$E203,$H$13:$H203,H203)-E203)))))</f>
        <v/>
      </c>
      <c r="M203" s="59" t="str">
        <f t="shared" si="15"/>
        <v/>
      </c>
      <c r="N203" s="59" t="str">
        <f t="shared" si="16"/>
        <v/>
      </c>
      <c r="O203" s="59" t="str">
        <f>IF(A203="","",IF(Einstellungen!$B$15="","",Einstellungen!$B$15-N203))</f>
        <v/>
      </c>
    </row>
    <row r="204" spans="1:15" ht="54" customHeight="1">
      <c r="A204" s="54"/>
      <c r="B204" s="13"/>
      <c r="C204" s="13"/>
      <c r="D204" s="13"/>
      <c r="E204" s="46"/>
      <c r="F204" s="46" t="str">
        <f>IF(A204="","",Einstellungen!$B$5)</f>
        <v/>
      </c>
      <c r="G204" s="47" t="str">
        <f t="shared" si="13"/>
        <v/>
      </c>
      <c r="H204" s="14" t="str">
        <f t="shared" si="14"/>
        <v/>
      </c>
      <c r="I204" s="13" t="str">
        <f t="shared" si="18"/>
        <v/>
      </c>
      <c r="J204" s="13"/>
      <c r="K204" s="13"/>
      <c r="L204" s="59" t="str">
        <f>IF(A204="","",IF(Einstellungen!$B$15="","",MAX(0,MIN(E204,Einstellungen!$B$15-(SUMIFS($E$13:$E204,$H$13:$H204,H204)-E204)))))</f>
        <v/>
      </c>
      <c r="M204" s="59" t="str">
        <f t="shared" si="15"/>
        <v/>
      </c>
      <c r="N204" s="59" t="str">
        <f t="shared" si="16"/>
        <v/>
      </c>
      <c r="O204" s="59" t="str">
        <f>IF(A204="","",IF(Einstellungen!$B$15="","",Einstellungen!$B$15-N204))</f>
        <v/>
      </c>
    </row>
    <row r="205" spans="1:15" ht="54" customHeight="1">
      <c r="A205" s="54"/>
      <c r="B205" s="13"/>
      <c r="C205" s="13"/>
      <c r="D205" s="13"/>
      <c r="E205" s="46"/>
      <c r="F205" s="46" t="str">
        <f>IF(A205="","",Einstellungen!$B$5)</f>
        <v/>
      </c>
      <c r="G205" s="47" t="str">
        <f t="shared" ref="G205:G214" si="19">IF(A205="","",L205*F205)</f>
        <v/>
      </c>
      <c r="H205" s="14" t="str">
        <f t="shared" ref="H205:H214" si="20">IF(A205="","",WEEKNUM(A205,21))</f>
        <v/>
      </c>
      <c r="I205" s="13" t="str">
        <f t="shared" si="18"/>
        <v/>
      </c>
      <c r="J205" s="13"/>
      <c r="K205" s="13"/>
      <c r="L205" s="59" t="str">
        <f>IF(A205="","",IF(Einstellungen!$B$15="","",MAX(0,MIN(E205,Einstellungen!$B$15-(SUMIFS($E$13:$E205,$H$13:$H205,H205)-E205)))))</f>
        <v/>
      </c>
      <c r="M205" s="59" t="str">
        <f t="shared" ref="M205:M214" si="21">IF(A205="","",IF(L205="","",E205-L205))</f>
        <v/>
      </c>
      <c r="N205" s="59" t="str">
        <f t="shared" ref="N205:N214" si="22">IF(A205="","",SUMIFS($E$13:$E$214,$H$13:$H$214,H205))</f>
        <v/>
      </c>
      <c r="O205" s="59" t="str">
        <f>IF(A205="","",IF(Einstellungen!$B$15="","",Einstellungen!$B$15-N205))</f>
        <v/>
      </c>
    </row>
    <row r="206" spans="1:15" ht="54" customHeight="1">
      <c r="A206" s="54"/>
      <c r="B206" s="13"/>
      <c r="C206" s="13"/>
      <c r="D206" s="13"/>
      <c r="E206" s="46"/>
      <c r="F206" s="46" t="str">
        <f>IF(A206="","",Einstellungen!$B$5)</f>
        <v/>
      </c>
      <c r="G206" s="47" t="str">
        <f t="shared" si="19"/>
        <v/>
      </c>
      <c r="H206" s="14" t="str">
        <f t="shared" si="20"/>
        <v/>
      </c>
      <c r="I206" s="13" t="str">
        <f t="shared" si="18"/>
        <v/>
      </c>
      <c r="J206" s="13"/>
      <c r="K206" s="13"/>
      <c r="L206" s="59" t="str">
        <f>IF(A206="","",IF(Einstellungen!$B$15="","",MAX(0,MIN(E206,Einstellungen!$B$15-(SUMIFS($E$13:$E206,$H$13:$H206,H206)-E206)))))</f>
        <v/>
      </c>
      <c r="M206" s="59" t="str">
        <f t="shared" si="21"/>
        <v/>
      </c>
      <c r="N206" s="59" t="str">
        <f t="shared" si="22"/>
        <v/>
      </c>
      <c r="O206" s="59" t="str">
        <f>IF(A206="","",IF(Einstellungen!$B$15="","",Einstellungen!$B$15-N206))</f>
        <v/>
      </c>
    </row>
    <row r="207" spans="1:15" ht="54" customHeight="1">
      <c r="A207" s="54"/>
      <c r="B207" s="13"/>
      <c r="C207" s="13"/>
      <c r="D207" s="13"/>
      <c r="E207" s="46"/>
      <c r="F207" s="46" t="str">
        <f>IF(A207="","",Einstellungen!$B$5)</f>
        <v/>
      </c>
      <c r="G207" s="47" t="str">
        <f t="shared" si="19"/>
        <v/>
      </c>
      <c r="H207" s="14" t="str">
        <f t="shared" si="20"/>
        <v/>
      </c>
      <c r="I207" s="13" t="str">
        <f t="shared" si="18"/>
        <v/>
      </c>
      <c r="J207" s="13"/>
      <c r="K207" s="13"/>
      <c r="L207" s="59" t="str">
        <f>IF(A207="","",IF(Einstellungen!$B$15="","",MAX(0,MIN(E207,Einstellungen!$B$15-(SUMIFS($E$13:$E207,$H$13:$H207,H207)-E207)))))</f>
        <v/>
      </c>
      <c r="M207" s="59" t="str">
        <f t="shared" si="21"/>
        <v/>
      </c>
      <c r="N207" s="59" t="str">
        <f t="shared" si="22"/>
        <v/>
      </c>
      <c r="O207" s="59" t="str">
        <f>IF(A207="","",IF(Einstellungen!$B$15="","",Einstellungen!$B$15-N207))</f>
        <v/>
      </c>
    </row>
    <row r="208" spans="1:15" ht="54" customHeight="1">
      <c r="A208" s="54"/>
      <c r="B208" s="13"/>
      <c r="C208" s="13"/>
      <c r="D208" s="13"/>
      <c r="E208" s="46"/>
      <c r="F208" s="46" t="str">
        <f>IF(A208="","",Einstellungen!$B$5)</f>
        <v/>
      </c>
      <c r="G208" s="47" t="str">
        <f t="shared" si="19"/>
        <v/>
      </c>
      <c r="H208" s="14" t="str">
        <f t="shared" si="20"/>
        <v/>
      </c>
      <c r="I208" s="13" t="str">
        <f t="shared" si="18"/>
        <v/>
      </c>
      <c r="J208" s="13"/>
      <c r="K208" s="13"/>
      <c r="L208" s="59" t="str">
        <f>IF(A208="","",IF(Einstellungen!$B$15="","",MAX(0,MIN(E208,Einstellungen!$B$15-(SUMIFS($E$13:$E208,$H$13:$H208,H208)-E208)))))</f>
        <v/>
      </c>
      <c r="M208" s="59" t="str">
        <f t="shared" si="21"/>
        <v/>
      </c>
      <c r="N208" s="59" t="str">
        <f t="shared" si="22"/>
        <v/>
      </c>
      <c r="O208" s="59" t="str">
        <f>IF(A208="","",IF(Einstellungen!$B$15="","",Einstellungen!$B$15-N208))</f>
        <v/>
      </c>
    </row>
    <row r="209" spans="1:15" ht="54" customHeight="1">
      <c r="A209" s="54"/>
      <c r="B209" s="13"/>
      <c r="C209" s="13"/>
      <c r="D209" s="13"/>
      <c r="E209" s="46"/>
      <c r="F209" s="46" t="str">
        <f>IF(A209="","",Einstellungen!$B$5)</f>
        <v/>
      </c>
      <c r="G209" s="47" t="str">
        <f t="shared" si="19"/>
        <v/>
      </c>
      <c r="H209" s="14" t="str">
        <f t="shared" si="20"/>
        <v/>
      </c>
      <c r="I209" s="13" t="str">
        <f t="shared" si="18"/>
        <v/>
      </c>
      <c r="J209" s="13"/>
      <c r="K209" s="13"/>
      <c r="L209" s="59" t="str">
        <f>IF(A209="","",IF(Einstellungen!$B$15="","",MAX(0,MIN(E209,Einstellungen!$B$15-(SUMIFS($E$13:$E209,$H$13:$H209,H209)-E209)))))</f>
        <v/>
      </c>
      <c r="M209" s="59" t="str">
        <f t="shared" si="21"/>
        <v/>
      </c>
      <c r="N209" s="59" t="str">
        <f t="shared" si="22"/>
        <v/>
      </c>
      <c r="O209" s="59" t="str">
        <f>IF(A209="","",IF(Einstellungen!$B$15="","",Einstellungen!$B$15-N209))</f>
        <v/>
      </c>
    </row>
    <row r="210" spans="1:15" ht="54" customHeight="1">
      <c r="A210" s="54"/>
      <c r="B210" s="13"/>
      <c r="C210" s="13"/>
      <c r="D210" s="13"/>
      <c r="E210" s="46"/>
      <c r="F210" s="46" t="str">
        <f>IF(A210="","",Einstellungen!$B$5)</f>
        <v/>
      </c>
      <c r="G210" s="47" t="str">
        <f t="shared" si="19"/>
        <v/>
      </c>
      <c r="H210" s="14" t="str">
        <f t="shared" si="20"/>
        <v/>
      </c>
      <c r="I210" s="13" t="str">
        <f t="shared" si="18"/>
        <v/>
      </c>
      <c r="J210" s="13"/>
      <c r="K210" s="13"/>
      <c r="L210" s="59" t="str">
        <f>IF(A210="","",IF(Einstellungen!$B$15="","",MAX(0,MIN(E210,Einstellungen!$B$15-(SUMIFS($E$13:$E210,$H$13:$H210,H210)-E210)))))</f>
        <v/>
      </c>
      <c r="M210" s="59" t="str">
        <f t="shared" si="21"/>
        <v/>
      </c>
      <c r="N210" s="59" t="str">
        <f t="shared" si="22"/>
        <v/>
      </c>
      <c r="O210" s="59" t="str">
        <f>IF(A210="","",IF(Einstellungen!$B$15="","",Einstellungen!$B$15-N210))</f>
        <v/>
      </c>
    </row>
    <row r="211" spans="1:15" ht="54" customHeight="1">
      <c r="A211" s="54"/>
      <c r="B211" s="13"/>
      <c r="C211" s="13"/>
      <c r="D211" s="13"/>
      <c r="E211" s="46"/>
      <c r="F211" s="46" t="str">
        <f>IF(A211="","",Einstellungen!$B$5)</f>
        <v/>
      </c>
      <c r="G211" s="47" t="str">
        <f t="shared" si="19"/>
        <v/>
      </c>
      <c r="H211" s="14" t="str">
        <f t="shared" si="20"/>
        <v/>
      </c>
      <c r="I211" s="13" t="str">
        <f t="shared" si="18"/>
        <v/>
      </c>
      <c r="J211" s="13"/>
      <c r="K211" s="13"/>
      <c r="L211" s="59" t="str">
        <f>IF(A211="","",IF(Einstellungen!$B$15="","",MAX(0,MIN(E211,Einstellungen!$B$15-(SUMIFS($E$13:$E211,$H$13:$H211,H211)-E211)))))</f>
        <v/>
      </c>
      <c r="M211" s="59" t="str">
        <f t="shared" si="21"/>
        <v/>
      </c>
      <c r="N211" s="59" t="str">
        <f t="shared" si="22"/>
        <v/>
      </c>
      <c r="O211" s="59" t="str">
        <f>IF(A211="","",IF(Einstellungen!$B$15="","",Einstellungen!$B$15-N211))</f>
        <v/>
      </c>
    </row>
    <row r="212" spans="1:15" ht="54" customHeight="1">
      <c r="A212" s="54"/>
      <c r="B212" s="13"/>
      <c r="C212" s="13"/>
      <c r="D212" s="13"/>
      <c r="E212" s="46"/>
      <c r="F212" s="46" t="str">
        <f>IF(A212="","",Einstellungen!$B$5)</f>
        <v/>
      </c>
      <c r="G212" s="47" t="str">
        <f t="shared" si="19"/>
        <v/>
      </c>
      <c r="H212" s="14" t="str">
        <f t="shared" si="20"/>
        <v/>
      </c>
      <c r="I212" s="13" t="str">
        <f t="shared" si="18"/>
        <v/>
      </c>
      <c r="J212" s="13"/>
      <c r="K212" s="13"/>
      <c r="L212" s="59" t="str">
        <f>IF(A212="","",IF(Einstellungen!$B$15="","",MAX(0,MIN(E212,Einstellungen!$B$15-(SUMIFS($E$13:$E212,$H$13:$H212,H212)-E212)))))</f>
        <v/>
      </c>
      <c r="M212" s="59" t="str">
        <f t="shared" si="21"/>
        <v/>
      </c>
      <c r="N212" s="59" t="str">
        <f t="shared" si="22"/>
        <v/>
      </c>
      <c r="O212" s="59" t="str">
        <f>IF(A212="","",IF(Einstellungen!$B$15="","",Einstellungen!$B$15-N212))</f>
        <v/>
      </c>
    </row>
    <row r="213" spans="1:15" ht="54" customHeight="1">
      <c r="A213" s="54"/>
      <c r="B213" s="13"/>
      <c r="C213" s="13"/>
      <c r="D213" s="13"/>
      <c r="E213" s="46"/>
      <c r="F213" s="46" t="str">
        <f>IF(A213="","",Einstellungen!$B$5)</f>
        <v/>
      </c>
      <c r="G213" s="47" t="str">
        <f t="shared" si="19"/>
        <v/>
      </c>
      <c r="H213" s="14" t="str">
        <f t="shared" si="20"/>
        <v/>
      </c>
      <c r="I213" s="13" t="str">
        <f t="shared" si="18"/>
        <v/>
      </c>
      <c r="J213" s="13"/>
      <c r="K213" s="13"/>
      <c r="L213" s="59" t="str">
        <f>IF(A213="","",IF(Einstellungen!$B$15="","",MAX(0,MIN(E213,Einstellungen!$B$15-(SUMIFS($E$13:$E213,$H$13:$H213,H213)-E213)))))</f>
        <v/>
      </c>
      <c r="M213" s="59" t="str">
        <f t="shared" si="21"/>
        <v/>
      </c>
      <c r="N213" s="59" t="str">
        <f t="shared" si="22"/>
        <v/>
      </c>
      <c r="O213" s="59" t="str">
        <f>IF(A213="","",IF(Einstellungen!$B$15="","",Einstellungen!$B$15-N213))</f>
        <v/>
      </c>
    </row>
    <row r="214" spans="1:15" ht="54" customHeight="1">
      <c r="A214" s="54"/>
      <c r="B214" s="13"/>
      <c r="C214" s="13"/>
      <c r="D214" s="13"/>
      <c r="E214" s="46"/>
      <c r="F214" s="46" t="str">
        <f>IF(A214="","",Einstellungen!$B$5)</f>
        <v/>
      </c>
      <c r="G214" s="47" t="str">
        <f t="shared" si="19"/>
        <v/>
      </c>
      <c r="H214" s="14" t="str">
        <f t="shared" si="20"/>
        <v/>
      </c>
      <c r="I214" s="13" t="str">
        <f t="shared" si="18"/>
        <v/>
      </c>
      <c r="J214" s="13"/>
      <c r="K214" s="13"/>
      <c r="L214" s="59" t="str">
        <f>IF(A214="","",IF(Einstellungen!$B$15="","",MAX(0,MIN(E214,Einstellungen!$B$15-(SUMIFS($E$13:$E214,$H$13:$H214,H214)-E214)))))</f>
        <v/>
      </c>
      <c r="M214" s="59" t="str">
        <f t="shared" si="21"/>
        <v/>
      </c>
      <c r="N214" s="59" t="str">
        <f t="shared" si="22"/>
        <v/>
      </c>
      <c r="O214" s="59" t="str">
        <f>IF(A214="","",IF(Einstellungen!$B$15="","",Einstellungen!$B$15-N214))</f>
        <v/>
      </c>
    </row>
  </sheetData>
  <mergeCells count="3">
    <mergeCell ref="G6:K6"/>
    <mergeCell ref="A1:K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showGridLines="0" workbookViewId="0"/>
  </sheetViews>
  <sheetFormatPr baseColWidth="10" defaultColWidth="8.83203125" defaultRowHeight="14"/>
  <cols>
    <col min="1" max="1" width="24" customWidth="1"/>
    <col min="2" max="3" width="18" customWidth="1"/>
    <col min="4" max="4" width="42" customWidth="1"/>
    <col min="5" max="5" width="16" customWidth="1"/>
    <col min="6" max="8" width="14" customWidth="1"/>
  </cols>
  <sheetData>
    <row r="1" spans="1:8" ht="28.5" customHeight="1">
      <c r="A1" s="76" t="s">
        <v>160</v>
      </c>
      <c r="B1" s="77"/>
      <c r="C1" s="77"/>
      <c r="D1" s="77"/>
      <c r="E1" s="77"/>
      <c r="F1" s="77"/>
      <c r="G1" s="77"/>
      <c r="H1" s="77"/>
    </row>
    <row r="2" spans="1:8" ht="25.5" customHeight="1">
      <c r="A2" s="78" t="s">
        <v>161</v>
      </c>
      <c r="B2" s="77"/>
      <c r="C2" s="77"/>
      <c r="D2" s="77"/>
      <c r="E2" s="77"/>
      <c r="F2" s="77"/>
      <c r="G2" s="77"/>
      <c r="H2" s="77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5" t="s">
        <v>2</v>
      </c>
      <c r="B4" s="16" t="str">
        <f>Einstellungen!F5</f>
        <v>Juni 2026</v>
      </c>
      <c r="C4" s="1"/>
      <c r="D4" s="17" t="s">
        <v>19</v>
      </c>
      <c r="E4" s="17" t="s">
        <v>162</v>
      </c>
      <c r="F4" s="17" t="s">
        <v>163</v>
      </c>
      <c r="G4" s="1"/>
      <c r="H4" s="1"/>
    </row>
    <row r="5" spans="1:8" ht="15" customHeight="1">
      <c r="A5" s="15" t="s">
        <v>164</v>
      </c>
      <c r="B5" s="18">
        <f>Datenbasis!D5</f>
        <v>35.65</v>
      </c>
      <c r="C5" s="1"/>
      <c r="D5" s="19" t="s">
        <v>28</v>
      </c>
      <c r="E5" s="20">
        <f>SUMIFS(Datenbasis!$E$13:$E$214,Datenbasis!$J$13:$J$214,D5,Datenbasis!$A$13:$A$214,"&gt;="&amp;Einstellungen!$B$4,Datenbasis!$A$13:$A$214,"&lt;"&amp;DATE(YEAR(Einstellungen!$B$4),MONTH(Einstellungen!$B$4)+1,1))</f>
        <v>7.55</v>
      </c>
      <c r="F5" s="21">
        <f>IF($B$5=0,0,E5/$B$5)</f>
        <v>0.21178120617110799</v>
      </c>
      <c r="G5" s="1"/>
      <c r="H5" s="1"/>
    </row>
    <row r="6" spans="1:8" ht="15" customHeight="1">
      <c r="A6" s="15" t="s">
        <v>17</v>
      </c>
      <c r="B6" s="22">
        <f>Datenbasis!E5</f>
        <v>3030.25</v>
      </c>
      <c r="C6" s="1"/>
      <c r="D6" s="19" t="s">
        <v>36</v>
      </c>
      <c r="E6" s="20">
        <f>SUMIFS(Datenbasis!$E$13:$E$214,Datenbasis!$J$13:$J$214,D6,Datenbasis!$A$13:$A$214,"&gt;="&amp;Einstellungen!$B$4,Datenbasis!$A$13:$A$214,"&lt;"&amp;DATE(YEAR(Einstellungen!$B$4),MONTH(Einstellungen!$B$4)+1,1))</f>
        <v>1.5</v>
      </c>
      <c r="F6" s="21">
        <f>IF($B$5=0,0,E6/$B$5)</f>
        <v>4.2075736325385693E-2</v>
      </c>
      <c r="G6" s="1"/>
      <c r="H6" s="1"/>
    </row>
    <row r="7" spans="1:8" ht="15" customHeight="1">
      <c r="A7" s="1"/>
      <c r="B7" s="1"/>
      <c r="C7" s="1"/>
      <c r="D7" s="19" t="s">
        <v>40</v>
      </c>
      <c r="E7" s="20">
        <f>SUMIFS(Datenbasis!$E$13:$E$214,Datenbasis!$J$13:$J$214,D7,Datenbasis!$A$13:$A$214,"&gt;="&amp;Einstellungen!$B$4,Datenbasis!$A$13:$A$214,"&lt;"&amp;DATE(YEAR(Einstellungen!$B$4),MONTH(Einstellungen!$B$4)+1,1))</f>
        <v>0.5</v>
      </c>
      <c r="F7" s="21">
        <f>IF($B$5=0,0,E7/$B$5)</f>
        <v>1.4025245441795233E-2</v>
      </c>
      <c r="G7" s="1"/>
      <c r="H7" s="1"/>
    </row>
    <row r="8" spans="1:8" ht="15" customHeight="1">
      <c r="A8" s="1"/>
      <c r="B8" s="1"/>
      <c r="C8" s="1"/>
      <c r="D8" s="19" t="s">
        <v>33</v>
      </c>
      <c r="E8" s="20">
        <f>SUMIFS(Datenbasis!$E$13:$E$214,Datenbasis!$J$13:$J$214,D8,Datenbasis!$A$13:$A$214,"&gt;="&amp;Einstellungen!$B$4,Datenbasis!$A$13:$A$214,"&lt;"&amp;DATE(YEAR(Einstellungen!$B$4),MONTH(Einstellungen!$B$4)+1,1))</f>
        <v>0.75</v>
      </c>
      <c r="F8" s="21">
        <f>IF($B$5=0,0,E8/$B$5)</f>
        <v>2.1037868162692847E-2</v>
      </c>
      <c r="G8" s="1"/>
      <c r="H8" s="1"/>
    </row>
    <row r="9" spans="1:8" ht="15" customHeight="1">
      <c r="A9" s="1"/>
      <c r="B9" s="1"/>
      <c r="C9" s="1"/>
      <c r="D9" s="19" t="s">
        <v>154</v>
      </c>
      <c r="E9" s="20">
        <f>SUMIFS(Datenbasis!$E$13:$E$214,Datenbasis!$J$13:$J$214,D9,Datenbasis!$A$13:$A$214,"&gt;="&amp;Einstellungen!$B$4,Datenbasis!$A$13:$A$214,"&lt;"&amp;DATE(YEAR(Einstellungen!$B$4),MONTH(Einstellungen!$B$4)+1,1))</f>
        <v>0</v>
      </c>
      <c r="F9" s="21">
        <f>IF($B$5=0,0,E9/$B$5)</f>
        <v>0</v>
      </c>
      <c r="G9" s="1"/>
      <c r="H9" s="1"/>
    </row>
    <row r="10" spans="1:8" ht="15" customHeight="1">
      <c r="A10" s="1"/>
      <c r="B10" s="1"/>
      <c r="C10" s="1"/>
      <c r="D10" s="1"/>
      <c r="E10" s="1"/>
      <c r="F10" s="1"/>
      <c r="G10" s="1"/>
      <c r="H10" s="1"/>
    </row>
    <row r="11" spans="1:8">
      <c r="A11" s="89" t="s">
        <v>165</v>
      </c>
      <c r="B11" s="77"/>
      <c r="C11" s="77"/>
      <c r="D11" s="77"/>
      <c r="E11" s="77"/>
      <c r="F11" s="77"/>
      <c r="G11" s="77"/>
      <c r="H11" s="77"/>
    </row>
    <row r="12" spans="1:8" ht="36" customHeight="1">
      <c r="A12" s="23" t="s">
        <v>166</v>
      </c>
      <c r="B12" s="86" t="s">
        <v>167</v>
      </c>
      <c r="C12" s="87"/>
      <c r="D12" s="87"/>
      <c r="E12" s="87"/>
      <c r="F12" s="87"/>
      <c r="G12" s="87"/>
      <c r="H12" s="88"/>
    </row>
    <row r="13" spans="1:8" ht="36" customHeight="1">
      <c r="A13" s="23" t="s">
        <v>168</v>
      </c>
      <c r="B13" s="86" t="s">
        <v>169</v>
      </c>
      <c r="C13" s="87"/>
      <c r="D13" s="87"/>
      <c r="E13" s="87"/>
      <c r="F13" s="87"/>
      <c r="G13" s="87"/>
      <c r="H13" s="88"/>
    </row>
    <row r="14" spans="1:8" ht="36" customHeight="1">
      <c r="A14" s="23" t="s">
        <v>170</v>
      </c>
      <c r="B14" s="86" t="s">
        <v>171</v>
      </c>
      <c r="C14" s="87"/>
      <c r="D14" s="87"/>
      <c r="E14" s="87"/>
      <c r="F14" s="87"/>
      <c r="G14" s="87"/>
      <c r="H14" s="88"/>
    </row>
    <row r="15" spans="1:8" ht="36" customHeight="1">
      <c r="A15" s="23" t="s">
        <v>172</v>
      </c>
      <c r="B15" s="86" t="s">
        <v>173</v>
      </c>
      <c r="C15" s="87"/>
      <c r="D15" s="87"/>
      <c r="E15" s="87"/>
      <c r="F15" s="87"/>
      <c r="G15" s="87"/>
      <c r="H15" s="88"/>
    </row>
    <row r="16" spans="1:8" ht="36" customHeight="1">
      <c r="A16" s="23" t="s">
        <v>174</v>
      </c>
      <c r="B16" s="86" t="s">
        <v>175</v>
      </c>
      <c r="C16" s="87"/>
      <c r="D16" s="87"/>
      <c r="E16" s="87"/>
      <c r="F16" s="87"/>
      <c r="G16" s="87"/>
      <c r="H16" s="88"/>
    </row>
    <row r="17" spans="1:8" ht="15" customHeight="1">
      <c r="A17" s="1"/>
      <c r="B17" s="1"/>
      <c r="C17" s="1"/>
      <c r="D17" s="1"/>
      <c r="E17" s="1"/>
      <c r="F17" s="1"/>
      <c r="G17" s="1"/>
      <c r="H17" s="1"/>
    </row>
    <row r="18" spans="1:8" ht="15" customHeight="1">
      <c r="A18" s="1"/>
      <c r="B18" s="1"/>
      <c r="C18" s="1"/>
      <c r="D18" s="1"/>
      <c r="E18" s="1"/>
      <c r="F18" s="1"/>
      <c r="G18" s="1"/>
      <c r="H18" s="1"/>
    </row>
    <row r="19" spans="1:8" ht="15" customHeight="1">
      <c r="A19" s="17" t="s">
        <v>18</v>
      </c>
      <c r="B19" s="17" t="s">
        <v>162</v>
      </c>
      <c r="C19" s="17" t="s">
        <v>17</v>
      </c>
      <c r="D19" s="17" t="s">
        <v>155</v>
      </c>
      <c r="E19" s="1"/>
      <c r="F19" s="1"/>
      <c r="G19" s="1"/>
      <c r="H19" s="1"/>
    </row>
    <row r="20" spans="1:8" ht="15" customHeight="1">
      <c r="A20" s="19">
        <v>25</v>
      </c>
      <c r="B20" s="20">
        <f>SUMIFS(Datenbasis!$E$13:$E$214,Datenbasis!$H$13:$H$214,A20,Datenbasis!$A$13:$A$214,"&gt;="&amp;Einstellungen!$B$4,Datenbasis!$A$13:$A$214,"&lt;"&amp;DATE(YEAR(Einstellungen!$B$4),MONTH(Einstellungen!$B$4)+1,1))</f>
        <v>10.3</v>
      </c>
      <c r="C20" s="24">
        <f>SUMIFS(Datenbasis!$G$13:$G$214,Datenbasis!$H$13:$H$214,A20,Datenbasis!$A$13:$A$214,"&gt;="&amp;Einstellungen!$B$4,Datenbasis!$A$13:$A$214,"&lt;"&amp;DATE(YEAR(Einstellungen!$B$4),MONTH(Einstellungen!$B$4)+1,1))</f>
        <v>875.5</v>
      </c>
      <c r="D20" s="19" t="str">
        <f t="shared" ref="D20:D28" si="0">IF(B20=0,"",IF(B20&lt;2,"kleiner Block / Kontextaufbau",IF(B20&gt;8,"hoher Wochenblock - Output sichtbar machen","plausibler Wochenblock")))</f>
        <v>hoher Wochenblock - Output sichtbar machen</v>
      </c>
      <c r="E20" s="1"/>
      <c r="F20" s="1"/>
      <c r="G20" s="1"/>
      <c r="H20" s="1"/>
    </row>
    <row r="21" spans="1:8" ht="15" customHeight="1">
      <c r="A21" s="19">
        <v>26</v>
      </c>
      <c r="B21" s="20">
        <f>SUMIFS(Datenbasis!$E$13:$E$214,Datenbasis!$H$13:$H$214,A21,Datenbasis!$A$13:$A$214,"&gt;="&amp;Einstellungen!$B$4,Datenbasis!$A$13:$A$214,"&lt;"&amp;DATE(YEAR(Einstellungen!$B$4),MONTH(Einstellungen!$B$4)+1,1))</f>
        <v>16</v>
      </c>
      <c r="C21" s="24">
        <f>SUMIFS(Datenbasis!$G$13:$G$214,Datenbasis!$H$13:$H$214,A21,Datenbasis!$A$13:$A$214,"&gt;="&amp;Einstellungen!$B$4,Datenbasis!$A$13:$A$214,"&lt;"&amp;DATE(YEAR(Einstellungen!$B$4),MONTH(Einstellungen!$B$4)+1,1))</f>
        <v>1360</v>
      </c>
      <c r="D21" s="19" t="str">
        <f t="shared" si="0"/>
        <v>hoher Wochenblock - Output sichtbar machen</v>
      </c>
      <c r="E21" s="1"/>
      <c r="F21" s="1"/>
      <c r="G21" s="1"/>
      <c r="H21" s="1"/>
    </row>
    <row r="22" spans="1:8" ht="15" customHeight="1">
      <c r="A22" s="19">
        <v>27</v>
      </c>
      <c r="B22" s="20">
        <f>SUMIFS(Datenbasis!$E$13:$E$214,Datenbasis!$H$13:$H$214,A22,Datenbasis!$A$13:$A$214,"&gt;="&amp;Einstellungen!$B$4,Datenbasis!$A$13:$A$214,"&lt;"&amp;DATE(YEAR(Einstellungen!$B$4),MONTH(Einstellungen!$B$4)+1,1))</f>
        <v>9.35</v>
      </c>
      <c r="C22" s="24">
        <f>SUMIFS(Datenbasis!$G$13:$G$214,Datenbasis!$H$13:$H$214,A22,Datenbasis!$A$13:$A$214,"&gt;="&amp;Einstellungen!$B$4,Datenbasis!$A$13:$A$214,"&lt;"&amp;DATE(YEAR(Einstellungen!$B$4),MONTH(Einstellungen!$B$4)+1,1))</f>
        <v>794.75</v>
      </c>
      <c r="D22" s="19" t="str">
        <f t="shared" si="0"/>
        <v>hoher Wochenblock - Output sichtbar machen</v>
      </c>
      <c r="E22" s="1"/>
      <c r="F22" s="1"/>
      <c r="G22" s="1"/>
      <c r="H22" s="1"/>
    </row>
    <row r="23" spans="1:8" ht="15" customHeight="1">
      <c r="A23" s="19">
        <v>28</v>
      </c>
      <c r="B23" s="20">
        <f>SUMIFS(Datenbasis!$E$13:$E$214,Datenbasis!$H$13:$H$214,A23,Datenbasis!$A$13:$A$214,"&gt;="&amp;Einstellungen!$B$4,Datenbasis!$A$13:$A$214,"&lt;"&amp;DATE(YEAR(Einstellungen!$B$4),MONTH(Einstellungen!$B$4)+1,1))</f>
        <v>0</v>
      </c>
      <c r="C23" s="24">
        <f>SUMIFS(Datenbasis!$G$13:$G$214,Datenbasis!$H$13:$H$214,A23,Datenbasis!$A$13:$A$214,"&gt;="&amp;Einstellungen!$B$4,Datenbasis!$A$13:$A$214,"&lt;"&amp;DATE(YEAR(Einstellungen!$B$4),MONTH(Einstellungen!$B$4)+1,1))</f>
        <v>0</v>
      </c>
      <c r="D23" s="19" t="str">
        <f t="shared" si="0"/>
        <v/>
      </c>
      <c r="E23" s="1"/>
      <c r="F23" s="1"/>
      <c r="G23" s="1"/>
      <c r="H23" s="1"/>
    </row>
    <row r="24" spans="1:8" ht="15" customHeight="1">
      <c r="A24" s="19">
        <v>29</v>
      </c>
      <c r="B24" s="20">
        <f>SUMIFS(Datenbasis!$E$13:$E$214,Datenbasis!$H$13:$H$214,A24,Datenbasis!$A$13:$A$214,"&gt;="&amp;Einstellungen!$B$4,Datenbasis!$A$13:$A$214,"&lt;"&amp;DATE(YEAR(Einstellungen!$B$4),MONTH(Einstellungen!$B$4)+1,1))</f>
        <v>0</v>
      </c>
      <c r="C24" s="24">
        <f>SUMIFS(Datenbasis!$G$13:$G$214,Datenbasis!$H$13:$H$214,A24,Datenbasis!$A$13:$A$214,"&gt;="&amp;Einstellungen!$B$4,Datenbasis!$A$13:$A$214,"&lt;"&amp;DATE(YEAR(Einstellungen!$B$4),MONTH(Einstellungen!$B$4)+1,1))</f>
        <v>0</v>
      </c>
      <c r="D24" s="19" t="str">
        <f t="shared" si="0"/>
        <v/>
      </c>
      <c r="E24" s="1"/>
      <c r="F24" s="1"/>
      <c r="G24" s="1"/>
      <c r="H24" s="1"/>
    </row>
    <row r="25" spans="1:8" ht="15" customHeight="1">
      <c r="A25" s="19">
        <v>30</v>
      </c>
      <c r="B25" s="20">
        <f>SUMIFS(Datenbasis!$E$13:$E$214,Datenbasis!$H$13:$H$214,A25,Datenbasis!$A$13:$A$214,"&gt;="&amp;Einstellungen!$B$4,Datenbasis!$A$13:$A$214,"&lt;"&amp;DATE(YEAR(Einstellungen!$B$4),MONTH(Einstellungen!$B$4)+1,1))</f>
        <v>0</v>
      </c>
      <c r="C25" s="24">
        <f>SUMIFS(Datenbasis!$G$13:$G$214,Datenbasis!$H$13:$H$214,A25,Datenbasis!$A$13:$A$214,"&gt;="&amp;Einstellungen!$B$4,Datenbasis!$A$13:$A$214,"&lt;"&amp;DATE(YEAR(Einstellungen!$B$4),MONTH(Einstellungen!$B$4)+1,1))</f>
        <v>0</v>
      </c>
      <c r="D25" s="19" t="str">
        <f t="shared" si="0"/>
        <v/>
      </c>
      <c r="E25" s="1"/>
      <c r="F25" s="1"/>
      <c r="G25" s="1"/>
      <c r="H25" s="1"/>
    </row>
    <row r="26" spans="1:8" ht="15" customHeight="1">
      <c r="A26" s="19">
        <v>31</v>
      </c>
      <c r="B26" s="20">
        <f>SUMIFS(Datenbasis!$E$13:$E$214,Datenbasis!$H$13:$H$214,A26,Datenbasis!$A$13:$A$214,"&gt;="&amp;Einstellungen!$B$4,Datenbasis!$A$13:$A$214,"&lt;"&amp;DATE(YEAR(Einstellungen!$B$4),MONTH(Einstellungen!$B$4)+1,1))</f>
        <v>0</v>
      </c>
      <c r="C26" s="24">
        <f>SUMIFS(Datenbasis!$G$13:$G$214,Datenbasis!$H$13:$H$214,A26,Datenbasis!$A$13:$A$214,"&gt;="&amp;Einstellungen!$B$4,Datenbasis!$A$13:$A$214,"&lt;"&amp;DATE(YEAR(Einstellungen!$B$4),MONTH(Einstellungen!$B$4)+1,1))</f>
        <v>0</v>
      </c>
      <c r="D26" s="19" t="str">
        <f t="shared" si="0"/>
        <v/>
      </c>
      <c r="E26" s="1"/>
      <c r="F26" s="1"/>
      <c r="G26" s="1"/>
      <c r="H26" s="1"/>
    </row>
    <row r="27" spans="1:8" ht="15" customHeight="1">
      <c r="A27" s="19">
        <v>32</v>
      </c>
      <c r="B27" s="20">
        <f>SUMIFS(Datenbasis!$E$13:$E$214,Datenbasis!$H$13:$H$214,A27,Datenbasis!$A$13:$A$214,"&gt;="&amp;Einstellungen!$B$4,Datenbasis!$A$13:$A$214,"&lt;"&amp;DATE(YEAR(Einstellungen!$B$4),MONTH(Einstellungen!$B$4)+1,1))</f>
        <v>0</v>
      </c>
      <c r="C27" s="24">
        <f>SUMIFS(Datenbasis!$G$13:$G$214,Datenbasis!$H$13:$H$214,A27,Datenbasis!$A$13:$A$214,"&gt;="&amp;Einstellungen!$B$4,Datenbasis!$A$13:$A$214,"&lt;"&amp;DATE(YEAR(Einstellungen!$B$4),MONTH(Einstellungen!$B$4)+1,1))</f>
        <v>0</v>
      </c>
      <c r="D27" s="19" t="str">
        <f t="shared" si="0"/>
        <v/>
      </c>
      <c r="E27" s="1"/>
      <c r="F27" s="1"/>
      <c r="G27" s="1"/>
      <c r="H27" s="1"/>
    </row>
    <row r="28" spans="1:8" ht="15" customHeight="1">
      <c r="A28" s="19">
        <v>33</v>
      </c>
      <c r="B28" s="20">
        <f>SUMIFS(Datenbasis!$E$13:$E$214,Datenbasis!$H$13:$H$214,A28,Datenbasis!$A$13:$A$214,"&gt;="&amp;Einstellungen!$B$4,Datenbasis!$A$13:$A$214,"&lt;"&amp;DATE(YEAR(Einstellungen!$B$4),MONTH(Einstellungen!$B$4)+1,1))</f>
        <v>0</v>
      </c>
      <c r="C28" s="24">
        <f>SUMIFS(Datenbasis!$G$13:$G$214,Datenbasis!$H$13:$H$214,A28,Datenbasis!$A$13:$A$214,"&gt;="&amp;Einstellungen!$B$4,Datenbasis!$A$13:$A$214,"&lt;"&amp;DATE(YEAR(Einstellungen!$B$4),MONTH(Einstellungen!$B$4)+1,1))</f>
        <v>0</v>
      </c>
      <c r="D28" s="19" t="str">
        <f t="shared" si="0"/>
        <v/>
      </c>
      <c r="E28" s="1"/>
      <c r="F28" s="1"/>
      <c r="G28" s="1"/>
      <c r="H28" s="1"/>
    </row>
  </sheetData>
  <mergeCells count="8">
    <mergeCell ref="B16:H16"/>
    <mergeCell ref="A11:H11"/>
    <mergeCell ref="B15:H15"/>
    <mergeCell ref="A1:H1"/>
    <mergeCell ref="B14:H14"/>
    <mergeCell ref="B13:H13"/>
    <mergeCell ref="A2:H2"/>
    <mergeCell ref="B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5"/>
  <sheetViews>
    <sheetView showGridLines="0" workbookViewId="0"/>
  </sheetViews>
  <sheetFormatPr baseColWidth="10" defaultColWidth="8.83203125" defaultRowHeight="14"/>
  <cols>
    <col min="1" max="1" width="13" customWidth="1"/>
    <col min="2" max="2" width="18" customWidth="1"/>
    <col min="3" max="3" width="76" customWidth="1"/>
    <col min="4" max="4" width="10" customWidth="1"/>
    <col min="5" max="5" width="14" customWidth="1"/>
    <col min="6" max="6" width="18" customWidth="1"/>
  </cols>
  <sheetData>
    <row r="1" spans="1:8" ht="28.5" customHeight="1">
      <c r="A1" s="76" t="s">
        <v>176</v>
      </c>
      <c r="B1" s="77"/>
      <c r="C1" s="77"/>
      <c r="D1" s="77"/>
      <c r="E1" s="77"/>
      <c r="F1" s="77"/>
      <c r="G1" s="1"/>
      <c r="H1" s="1"/>
    </row>
    <row r="2" spans="1:8" ht="25.5" customHeight="1">
      <c r="A2" s="78" t="s">
        <v>177</v>
      </c>
      <c r="B2" s="77"/>
      <c r="C2" s="77"/>
      <c r="D2" s="77"/>
      <c r="E2" s="77"/>
      <c r="F2" s="77"/>
      <c r="G2" s="77"/>
      <c r="H2" s="77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5" t="s">
        <v>2</v>
      </c>
      <c r="B4" s="25" t="str">
        <f>Einstellungen!F5</f>
        <v>Juni 2026</v>
      </c>
      <c r="C4" s="15" t="s">
        <v>146</v>
      </c>
      <c r="D4" s="26" t="str">
        <f>Einstellungen!B6</f>
        <v>Robert</v>
      </c>
      <c r="E4" s="15" t="s">
        <v>149</v>
      </c>
      <c r="F4" s="26" t="str">
        <f>Einstellungen!B7</f>
        <v>Maria</v>
      </c>
      <c r="G4" s="1"/>
      <c r="H4" s="1"/>
    </row>
    <row r="5" spans="1:8" ht="15" customHeight="1">
      <c r="A5" s="15" t="s">
        <v>164</v>
      </c>
      <c r="B5" s="27" t="s">
        <v>178</v>
      </c>
      <c r="C5" s="15" t="s">
        <v>3</v>
      </c>
      <c r="D5" s="27" t="s">
        <v>179</v>
      </c>
      <c r="E5" s="15" t="s">
        <v>17</v>
      </c>
      <c r="F5" s="28" t="s">
        <v>180</v>
      </c>
      <c r="G5" s="1"/>
      <c r="H5" s="1"/>
    </row>
    <row r="6" spans="1:8" ht="15" customHeight="1">
      <c r="A6" s="15" t="s">
        <v>181</v>
      </c>
      <c r="B6" s="100" t="s">
        <v>182</v>
      </c>
      <c r="C6" s="101"/>
      <c r="D6" s="101"/>
      <c r="E6" s="101"/>
      <c r="F6" s="102"/>
      <c r="G6" s="1"/>
      <c r="H6" s="1"/>
    </row>
    <row r="7" spans="1:8" ht="15" customHeight="1">
      <c r="A7" s="15"/>
      <c r="B7" s="103"/>
      <c r="C7" s="77"/>
      <c r="D7" s="77"/>
      <c r="E7" s="77"/>
      <c r="F7" s="104"/>
      <c r="G7" s="1"/>
      <c r="H7" s="1"/>
    </row>
    <row r="8" spans="1:8" ht="15" customHeight="1">
      <c r="A8" s="15"/>
      <c r="B8" s="105"/>
      <c r="C8" s="106"/>
      <c r="D8" s="106"/>
      <c r="E8" s="106"/>
      <c r="F8" s="107"/>
      <c r="G8" s="1"/>
      <c r="H8" s="1"/>
    </row>
    <row r="9" spans="1:8" ht="15" customHeight="1">
      <c r="A9" s="1"/>
      <c r="B9" s="1"/>
      <c r="C9" s="1"/>
      <c r="D9" s="1"/>
      <c r="E9" s="1"/>
      <c r="F9" s="1"/>
      <c r="G9" s="1"/>
      <c r="H9" s="1"/>
    </row>
    <row r="10" spans="1:8" ht="15" customHeight="1">
      <c r="A10" s="1"/>
      <c r="B10" s="1"/>
      <c r="C10" s="1"/>
      <c r="D10" s="1"/>
      <c r="E10" s="1"/>
      <c r="F10" s="1"/>
      <c r="G10" s="1"/>
      <c r="H10" s="1"/>
    </row>
    <row r="11" spans="1:8" ht="15" customHeight="1">
      <c r="A11" s="32" t="s">
        <v>12</v>
      </c>
      <c r="B11" s="32" t="s">
        <v>13</v>
      </c>
      <c r="C11" s="32" t="s">
        <v>15</v>
      </c>
      <c r="D11" s="32" t="s">
        <v>183</v>
      </c>
      <c r="E11" s="32" t="s">
        <v>20</v>
      </c>
      <c r="F11" s="1"/>
      <c r="G11" s="1"/>
      <c r="H11" s="1"/>
    </row>
    <row r="12" spans="1:8" ht="50" customHeight="1">
      <c r="A12" s="33" t="s">
        <v>184</v>
      </c>
      <c r="B12" s="34" t="s">
        <v>25</v>
      </c>
      <c r="C12" s="34" t="s">
        <v>185</v>
      </c>
      <c r="D12" s="35" t="s">
        <v>186</v>
      </c>
      <c r="E12" s="34" t="s">
        <v>29</v>
      </c>
      <c r="F12" s="1"/>
      <c r="G12" s="1"/>
      <c r="H12" s="1"/>
    </row>
    <row r="13" spans="1:8" ht="50" customHeight="1">
      <c r="A13" s="33" t="s">
        <v>187</v>
      </c>
      <c r="B13" s="34" t="s">
        <v>30</v>
      </c>
      <c r="C13" s="34" t="s">
        <v>188</v>
      </c>
      <c r="D13" s="35" t="s">
        <v>189</v>
      </c>
      <c r="E13" s="34" t="s">
        <v>29</v>
      </c>
      <c r="F13" s="1"/>
      <c r="G13" s="1"/>
      <c r="H13" s="1"/>
    </row>
    <row r="14" spans="1:8" ht="50" customHeight="1">
      <c r="A14" s="33" t="s">
        <v>187</v>
      </c>
      <c r="B14" s="34" t="s">
        <v>25</v>
      </c>
      <c r="C14" s="34" t="s">
        <v>190</v>
      </c>
      <c r="D14" s="35" t="s">
        <v>191</v>
      </c>
      <c r="E14" s="34" t="s">
        <v>29</v>
      </c>
      <c r="F14" s="1"/>
      <c r="G14" s="1"/>
      <c r="H14" s="1"/>
    </row>
    <row r="15" spans="1:8" ht="50" customHeight="1">
      <c r="A15" s="33" t="s">
        <v>187</v>
      </c>
      <c r="B15" s="34" t="s">
        <v>37</v>
      </c>
      <c r="C15" s="34" t="s">
        <v>192</v>
      </c>
      <c r="D15" s="35" t="s">
        <v>193</v>
      </c>
      <c r="E15" s="34" t="s">
        <v>41</v>
      </c>
      <c r="F15" s="1"/>
      <c r="G15" s="1"/>
      <c r="H15" s="1"/>
    </row>
    <row r="16" spans="1:8" ht="50" customHeight="1">
      <c r="A16" s="33" t="s">
        <v>194</v>
      </c>
      <c r="B16" s="34" t="s">
        <v>37</v>
      </c>
      <c r="C16" s="34" t="s">
        <v>195</v>
      </c>
      <c r="D16" s="35" t="s">
        <v>196</v>
      </c>
      <c r="E16" s="34" t="s">
        <v>41</v>
      </c>
      <c r="F16" s="1"/>
      <c r="G16" s="1"/>
      <c r="H16" s="1"/>
    </row>
    <row r="17" spans="1:8" ht="50" customHeight="1">
      <c r="A17" s="33" t="s">
        <v>197</v>
      </c>
      <c r="B17" s="34" t="s">
        <v>25</v>
      </c>
      <c r="C17" s="34" t="s">
        <v>198</v>
      </c>
      <c r="D17" s="35" t="s">
        <v>199</v>
      </c>
      <c r="E17" s="34" t="s">
        <v>29</v>
      </c>
      <c r="F17" s="1"/>
      <c r="G17" s="1"/>
      <c r="H17" s="1"/>
    </row>
    <row r="18" spans="1:8" ht="50" customHeight="1">
      <c r="A18" s="33" t="s">
        <v>200</v>
      </c>
      <c r="B18" s="34" t="s">
        <v>25</v>
      </c>
      <c r="C18" s="34" t="s">
        <v>201</v>
      </c>
      <c r="D18" s="35" t="s">
        <v>193</v>
      </c>
      <c r="E18" s="34" t="s">
        <v>29</v>
      </c>
      <c r="F18" s="1"/>
      <c r="G18" s="1"/>
      <c r="H18" s="1"/>
    </row>
    <row r="19" spans="1:8" ht="50" customHeight="1">
      <c r="A19" s="33" t="s">
        <v>202</v>
      </c>
      <c r="B19" s="34" t="s">
        <v>25</v>
      </c>
      <c r="C19" s="34" t="s">
        <v>203</v>
      </c>
      <c r="D19" s="35" t="s">
        <v>204</v>
      </c>
      <c r="E19" s="34"/>
      <c r="F19" s="1"/>
      <c r="G19" s="1"/>
      <c r="H19" s="1"/>
    </row>
    <row r="20" spans="1:8" ht="50" customHeight="1">
      <c r="A20" s="33" t="s">
        <v>205</v>
      </c>
      <c r="B20" s="34" t="s">
        <v>50</v>
      </c>
      <c r="C20" s="34" t="s">
        <v>206</v>
      </c>
      <c r="D20" s="35" t="s">
        <v>207</v>
      </c>
      <c r="E20" s="34"/>
      <c r="F20" s="1"/>
      <c r="G20" s="1"/>
      <c r="H20" s="1"/>
    </row>
    <row r="21" spans="1:8" ht="50" customHeight="1">
      <c r="A21" s="33" t="s">
        <v>205</v>
      </c>
      <c r="B21" s="34" t="s">
        <v>50</v>
      </c>
      <c r="C21" s="34" t="s">
        <v>208</v>
      </c>
      <c r="D21" s="35" t="s">
        <v>209</v>
      </c>
      <c r="E21" s="34"/>
      <c r="F21" s="1"/>
      <c r="G21" s="1"/>
      <c r="H21" s="1"/>
    </row>
    <row r="22" spans="1:8" ht="50" customHeight="1">
      <c r="A22" s="33" t="s">
        <v>205</v>
      </c>
      <c r="B22" s="34" t="s">
        <v>50</v>
      </c>
      <c r="C22" s="34" t="s">
        <v>210</v>
      </c>
      <c r="D22" s="35" t="s">
        <v>193</v>
      </c>
      <c r="E22" s="34"/>
      <c r="F22" s="1"/>
      <c r="G22" s="1"/>
      <c r="H22" s="1"/>
    </row>
    <row r="23" spans="1:8" ht="50" customHeight="1">
      <c r="A23" s="33" t="s">
        <v>211</v>
      </c>
      <c r="B23" s="34" t="s">
        <v>50</v>
      </c>
      <c r="C23" s="34" t="s">
        <v>212</v>
      </c>
      <c r="D23" s="35" t="s">
        <v>204</v>
      </c>
      <c r="E23" s="34"/>
      <c r="F23" s="1"/>
      <c r="G23" s="1"/>
      <c r="H23" s="1"/>
    </row>
    <row r="24" spans="1:8" ht="50" customHeight="1">
      <c r="A24" s="33" t="s">
        <v>211</v>
      </c>
      <c r="B24" s="34" t="s">
        <v>50</v>
      </c>
      <c r="C24" s="34" t="s">
        <v>213</v>
      </c>
      <c r="D24" s="35" t="s">
        <v>214</v>
      </c>
      <c r="E24" s="34"/>
      <c r="F24" s="1"/>
      <c r="G24" s="1"/>
      <c r="H24" s="1"/>
    </row>
    <row r="25" spans="1:8" ht="50" customHeight="1">
      <c r="A25" s="33" t="s">
        <v>211</v>
      </c>
      <c r="B25" s="34" t="s">
        <v>50</v>
      </c>
      <c r="C25" s="34" t="s">
        <v>215</v>
      </c>
      <c r="D25" s="35" t="s">
        <v>216</v>
      </c>
      <c r="E25" s="34"/>
      <c r="F25" s="1"/>
      <c r="G25" s="1"/>
      <c r="H25" s="1"/>
    </row>
    <row r="26" spans="1:8" ht="50" customHeight="1">
      <c r="A26" s="33" t="s">
        <v>211</v>
      </c>
      <c r="B26" s="34" t="s">
        <v>50</v>
      </c>
      <c r="C26" s="34" t="s">
        <v>217</v>
      </c>
      <c r="D26" s="35" t="s">
        <v>218</v>
      </c>
      <c r="E26" s="34"/>
      <c r="F26" s="1"/>
      <c r="G26" s="1"/>
      <c r="H26" s="1"/>
    </row>
    <row r="27" spans="1:8" ht="50" customHeight="1">
      <c r="A27" s="33" t="s">
        <v>211</v>
      </c>
      <c r="B27" s="34" t="s">
        <v>50</v>
      </c>
      <c r="C27" s="34" t="s">
        <v>219</v>
      </c>
      <c r="D27" s="35" t="s">
        <v>193</v>
      </c>
      <c r="E27" s="34"/>
      <c r="F27" s="1"/>
      <c r="G27" s="1"/>
      <c r="H27" s="1"/>
    </row>
    <row r="28" spans="1:8" ht="50" customHeight="1">
      <c r="A28" s="33" t="s">
        <v>220</v>
      </c>
      <c r="B28" s="34" t="s">
        <v>50</v>
      </c>
      <c r="C28" s="34" t="s">
        <v>221</v>
      </c>
      <c r="D28" s="35" t="s">
        <v>222</v>
      </c>
      <c r="E28" s="34"/>
      <c r="F28" s="1"/>
      <c r="G28" s="1"/>
      <c r="H28" s="1"/>
    </row>
    <row r="29" spans="1:8" ht="50" customHeight="1">
      <c r="A29" s="33" t="s">
        <v>220</v>
      </c>
      <c r="B29" s="34" t="s">
        <v>50</v>
      </c>
      <c r="C29" s="34" t="s">
        <v>223</v>
      </c>
      <c r="D29" s="35" t="s">
        <v>224</v>
      </c>
      <c r="E29" s="34"/>
      <c r="F29" s="1"/>
      <c r="G29" s="1"/>
      <c r="H29" s="1"/>
    </row>
    <row r="30" spans="1:8" ht="50" customHeight="1">
      <c r="A30" s="33" t="s">
        <v>220</v>
      </c>
      <c r="B30" s="34" t="s">
        <v>50</v>
      </c>
      <c r="C30" s="34" t="s">
        <v>225</v>
      </c>
      <c r="D30" s="35" t="s">
        <v>226</v>
      </c>
      <c r="E30" s="34"/>
      <c r="F30" s="1"/>
      <c r="G30" s="1"/>
      <c r="H30" s="1"/>
    </row>
    <row r="31" spans="1:8" ht="50" customHeight="1">
      <c r="A31" s="33" t="s">
        <v>220</v>
      </c>
      <c r="B31" s="34" t="s">
        <v>50</v>
      </c>
      <c r="C31" s="34" t="s">
        <v>227</v>
      </c>
      <c r="D31" s="35" t="s">
        <v>228</v>
      </c>
      <c r="E31" s="34"/>
      <c r="F31" s="1"/>
      <c r="G31" s="1"/>
      <c r="H31" s="1"/>
    </row>
    <row r="32" spans="1:8" ht="50" customHeight="1">
      <c r="A32" s="33" t="s">
        <v>220</v>
      </c>
      <c r="B32" s="34" t="s">
        <v>50</v>
      </c>
      <c r="C32" s="34" t="s">
        <v>229</v>
      </c>
      <c r="D32" s="35" t="s">
        <v>189</v>
      </c>
      <c r="E32" s="34"/>
      <c r="F32" s="1"/>
      <c r="G32" s="1"/>
      <c r="H32" s="1"/>
    </row>
    <row r="33" spans="1:8" ht="50" customHeight="1">
      <c r="A33" s="33" t="s">
        <v>220</v>
      </c>
      <c r="B33" s="34" t="s">
        <v>50</v>
      </c>
      <c r="C33" s="34" t="s">
        <v>230</v>
      </c>
      <c r="D33" s="35" t="s">
        <v>204</v>
      </c>
      <c r="E33" s="34"/>
      <c r="F33" s="1"/>
      <c r="G33" s="1"/>
      <c r="H33" s="1"/>
    </row>
    <row r="34" spans="1:8" ht="50" customHeight="1">
      <c r="A34" s="33" t="s">
        <v>231</v>
      </c>
      <c r="B34" s="34" t="s">
        <v>50</v>
      </c>
      <c r="C34" s="34" t="s">
        <v>232</v>
      </c>
      <c r="D34" s="35" t="s">
        <v>207</v>
      </c>
      <c r="E34" s="34"/>
      <c r="F34" s="1"/>
      <c r="G34" s="1"/>
      <c r="H34" s="1"/>
    </row>
    <row r="35" spans="1:8" ht="50" customHeight="1">
      <c r="A35" s="33" t="s">
        <v>233</v>
      </c>
      <c r="B35" s="34" t="s">
        <v>50</v>
      </c>
      <c r="C35" s="34" t="s">
        <v>234</v>
      </c>
      <c r="D35" s="35" t="s">
        <v>235</v>
      </c>
      <c r="E35" s="34"/>
      <c r="F35" s="1"/>
      <c r="G35" s="1"/>
      <c r="H35" s="1"/>
    </row>
    <row r="36" spans="1:8" ht="50" customHeight="1">
      <c r="A36" s="33" t="s">
        <v>233</v>
      </c>
      <c r="B36" s="34" t="s">
        <v>50</v>
      </c>
      <c r="C36" s="34" t="s">
        <v>236</v>
      </c>
      <c r="D36" s="35" t="s">
        <v>237</v>
      </c>
      <c r="E36" s="34"/>
      <c r="F36" s="1"/>
      <c r="G36" s="1"/>
      <c r="H36" s="1"/>
    </row>
    <row r="37" spans="1:8" ht="50" customHeight="1">
      <c r="A37" s="33" t="s">
        <v>233</v>
      </c>
      <c r="B37" s="34" t="s">
        <v>50</v>
      </c>
      <c r="C37" s="34" t="s">
        <v>238</v>
      </c>
      <c r="D37" s="35" t="s">
        <v>239</v>
      </c>
      <c r="E37" s="34"/>
      <c r="F37" s="1"/>
      <c r="G37" s="1"/>
      <c r="H37" s="1"/>
    </row>
    <row r="38" spans="1:8" ht="50" customHeight="1">
      <c r="A38" s="33" t="s">
        <v>233</v>
      </c>
      <c r="B38" s="34" t="s">
        <v>50</v>
      </c>
      <c r="C38" s="34" t="s">
        <v>240</v>
      </c>
      <c r="D38" s="35" t="s">
        <v>207</v>
      </c>
      <c r="E38" s="34"/>
      <c r="F38" s="1"/>
      <c r="G38" s="1"/>
      <c r="H38" s="1"/>
    </row>
    <row r="39" spans="1:8" ht="50" customHeight="1">
      <c r="A39" s="33" t="s">
        <v>241</v>
      </c>
      <c r="B39" s="34" t="s">
        <v>50</v>
      </c>
      <c r="C39" s="34" t="s">
        <v>242</v>
      </c>
      <c r="D39" s="35" t="s">
        <v>204</v>
      </c>
      <c r="E39" s="34"/>
      <c r="F39" s="1"/>
      <c r="G39" s="1"/>
      <c r="H39" s="1"/>
    </row>
    <row r="40" spans="1:8" ht="50" customHeight="1">
      <c r="A40" s="33" t="s">
        <v>241</v>
      </c>
      <c r="B40" s="34" t="s">
        <v>50</v>
      </c>
      <c r="C40" s="34" t="s">
        <v>243</v>
      </c>
      <c r="D40" s="35" t="s">
        <v>244</v>
      </c>
      <c r="E40" s="34"/>
      <c r="F40" s="1"/>
      <c r="G40" s="1"/>
      <c r="H40" s="1"/>
    </row>
    <row r="41" spans="1:8" ht="50" customHeight="1">
      <c r="A41" s="33" t="s">
        <v>241</v>
      </c>
      <c r="B41" s="34" t="s">
        <v>50</v>
      </c>
      <c r="C41" s="34" t="s">
        <v>245</v>
      </c>
      <c r="D41" s="35" t="s">
        <v>214</v>
      </c>
      <c r="E41" s="34"/>
      <c r="F41" s="1"/>
      <c r="G41" s="1"/>
      <c r="H41" s="1"/>
    </row>
    <row r="42" spans="1:8" ht="54" customHeight="1">
      <c r="A42" s="29"/>
      <c r="B42" s="19"/>
      <c r="C42" s="19"/>
      <c r="D42" s="30"/>
      <c r="E42" s="19"/>
      <c r="F42" s="1"/>
      <c r="G42" s="1"/>
      <c r="H42" s="1"/>
    </row>
    <row r="43" spans="1:8" ht="54" customHeight="1">
      <c r="A43" s="29"/>
      <c r="B43" s="19"/>
      <c r="C43" s="19"/>
      <c r="D43" s="30"/>
      <c r="E43" s="19"/>
      <c r="F43" s="1"/>
      <c r="G43" s="1"/>
      <c r="H43" s="1"/>
    </row>
    <row r="44" spans="1:8" ht="22" customHeight="1">
      <c r="A44" s="99" t="s">
        <v>246</v>
      </c>
      <c r="B44" s="87"/>
      <c r="C44" s="87"/>
      <c r="D44" s="87"/>
      <c r="E44" s="88"/>
      <c r="F44" s="1"/>
      <c r="G44" s="1"/>
      <c r="H44" s="1"/>
    </row>
    <row r="45" spans="1:8" ht="22" customHeight="1">
      <c r="A45" s="98" t="s">
        <v>247</v>
      </c>
      <c r="B45" s="87"/>
      <c r="C45" s="87"/>
      <c r="D45" s="87"/>
      <c r="E45" s="88"/>
      <c r="F45" s="1"/>
      <c r="G45" s="1"/>
      <c r="H45" s="1"/>
    </row>
    <row r="46" spans="1:8" ht="22" customHeight="1">
      <c r="A46" s="98" t="s">
        <v>248</v>
      </c>
      <c r="B46" s="87"/>
      <c r="C46" s="87"/>
      <c r="D46" s="87"/>
      <c r="E46" s="88"/>
      <c r="F46" s="1"/>
      <c r="G46" s="1"/>
      <c r="H46" s="1"/>
    </row>
    <row r="47" spans="1:8" ht="54" customHeight="1">
      <c r="A47" s="29"/>
      <c r="B47" s="19"/>
      <c r="C47" s="19"/>
      <c r="D47" s="30"/>
      <c r="E47" s="19"/>
      <c r="F47" s="1"/>
      <c r="G47" s="1"/>
      <c r="H47" s="1"/>
    </row>
    <row r="48" spans="1:8" ht="54" customHeight="1">
      <c r="A48" s="29"/>
      <c r="B48" s="19"/>
      <c r="C48" s="19"/>
      <c r="D48" s="30"/>
      <c r="E48" s="19"/>
      <c r="F48" s="1"/>
      <c r="G48" s="1"/>
      <c r="H48" s="1"/>
    </row>
    <row r="49" spans="1:8" ht="54" customHeight="1">
      <c r="A49" s="29"/>
      <c r="B49" s="19"/>
      <c r="C49" s="19"/>
      <c r="D49" s="30"/>
      <c r="E49" s="19"/>
      <c r="F49" s="1"/>
      <c r="G49" s="1"/>
      <c r="H49" s="1"/>
    </row>
    <row r="50" spans="1:8" ht="54" customHeight="1">
      <c r="A50" s="29"/>
      <c r="B50" s="19"/>
      <c r="C50" s="19"/>
      <c r="D50" s="30"/>
      <c r="E50" s="19"/>
      <c r="F50" s="1"/>
      <c r="G50" s="1"/>
      <c r="H50" s="1"/>
    </row>
    <row r="51" spans="1:8" ht="54" customHeight="1">
      <c r="A51" s="29"/>
      <c r="B51" s="19"/>
      <c r="C51" s="19"/>
      <c r="D51" s="30"/>
      <c r="E51" s="19"/>
      <c r="F51" s="1"/>
      <c r="G51" s="1"/>
      <c r="H51" s="1"/>
    </row>
    <row r="52" spans="1:8" ht="54" customHeight="1">
      <c r="A52" s="29"/>
      <c r="B52" s="19"/>
      <c r="C52" s="19"/>
      <c r="D52" s="30"/>
      <c r="E52" s="19"/>
      <c r="F52" s="1"/>
      <c r="G52" s="1"/>
      <c r="H52" s="1"/>
    </row>
    <row r="53" spans="1:8" ht="54" customHeight="1">
      <c r="A53" s="29"/>
      <c r="B53" s="19"/>
      <c r="C53" s="19"/>
      <c r="D53" s="30"/>
      <c r="E53" s="19"/>
      <c r="F53" s="1"/>
      <c r="G53" s="1"/>
      <c r="H53" s="1"/>
    </row>
    <row r="54" spans="1:8" ht="54" customHeight="1">
      <c r="A54" s="29"/>
      <c r="B54" s="19"/>
      <c r="C54" s="19"/>
      <c r="D54" s="30"/>
      <c r="E54" s="19"/>
      <c r="F54" s="1"/>
      <c r="G54" s="1"/>
      <c r="H54" s="1"/>
    </row>
    <row r="55" spans="1:8" ht="54" customHeight="1">
      <c r="A55" s="29"/>
      <c r="B55" s="19"/>
      <c r="C55" s="19"/>
      <c r="D55" s="30"/>
      <c r="E55" s="19"/>
      <c r="F55" s="1"/>
      <c r="G55" s="1"/>
      <c r="H55" s="1"/>
    </row>
    <row r="56" spans="1:8" ht="54" customHeight="1">
      <c r="A56" s="29"/>
      <c r="B56" s="19"/>
      <c r="C56" s="19"/>
      <c r="D56" s="30"/>
      <c r="E56" s="19"/>
      <c r="F56" s="1"/>
      <c r="G56" s="1"/>
      <c r="H56" s="1"/>
    </row>
    <row r="57" spans="1:8" ht="54" customHeight="1">
      <c r="A57" s="29"/>
      <c r="B57" s="19"/>
      <c r="C57" s="19"/>
      <c r="D57" s="30"/>
      <c r="E57" s="19"/>
      <c r="F57" s="1"/>
      <c r="G57" s="1"/>
      <c r="H57" s="1"/>
    </row>
    <row r="58" spans="1:8" ht="54" customHeight="1">
      <c r="A58" s="29"/>
      <c r="B58" s="19"/>
      <c r="C58" s="19"/>
      <c r="D58" s="30"/>
      <c r="E58" s="19"/>
      <c r="F58" s="1"/>
      <c r="G58" s="1"/>
      <c r="H58" s="1"/>
    </row>
    <row r="59" spans="1:8" ht="54" customHeight="1">
      <c r="A59" s="29"/>
      <c r="B59" s="19"/>
      <c r="C59" s="19"/>
      <c r="D59" s="30"/>
      <c r="E59" s="19"/>
      <c r="F59" s="1"/>
      <c r="G59" s="1"/>
      <c r="H59" s="1"/>
    </row>
    <row r="60" spans="1:8" ht="54" customHeight="1">
      <c r="A60" s="29"/>
      <c r="B60" s="19"/>
      <c r="C60" s="19"/>
      <c r="D60" s="30"/>
      <c r="E60" s="19"/>
      <c r="F60" s="1"/>
      <c r="G60" s="1"/>
      <c r="H60" s="1"/>
    </row>
    <row r="61" spans="1:8" ht="54" customHeight="1">
      <c r="A61" s="29"/>
      <c r="B61" s="19"/>
      <c r="C61" s="19"/>
      <c r="D61" s="30"/>
      <c r="E61" s="19"/>
      <c r="F61" s="1"/>
      <c r="G61" s="1"/>
      <c r="H61" s="1"/>
    </row>
    <row r="62" spans="1:8" ht="54" customHeight="1">
      <c r="A62" s="29"/>
      <c r="B62" s="19"/>
      <c r="C62" s="19"/>
      <c r="D62" s="30"/>
      <c r="E62" s="19"/>
      <c r="F62" s="1"/>
      <c r="G62" s="1"/>
      <c r="H62" s="1"/>
    </row>
    <row r="63" spans="1:8" ht="54" customHeight="1">
      <c r="A63" s="29"/>
      <c r="B63" s="19"/>
      <c r="C63" s="19"/>
      <c r="D63" s="30"/>
      <c r="E63" s="19"/>
      <c r="F63" s="1"/>
      <c r="G63" s="1"/>
      <c r="H63" s="1"/>
    </row>
    <row r="64" spans="1:8" ht="54" customHeight="1">
      <c r="A64" s="29"/>
      <c r="B64" s="19"/>
      <c r="C64" s="19"/>
      <c r="D64" s="30"/>
      <c r="E64" s="19"/>
      <c r="F64" s="1"/>
      <c r="G64" s="1"/>
      <c r="H64" s="1"/>
    </row>
    <row r="65" spans="1:8" ht="54" customHeight="1">
      <c r="A65" s="29"/>
      <c r="B65" s="19"/>
      <c r="C65" s="19"/>
      <c r="D65" s="30"/>
      <c r="E65" s="19"/>
      <c r="F65" s="1"/>
      <c r="G65" s="1"/>
      <c r="H65" s="1"/>
    </row>
    <row r="66" spans="1:8" ht="54" customHeight="1">
      <c r="A66" s="29"/>
      <c r="B66" s="19"/>
      <c r="C66" s="19"/>
      <c r="D66" s="30"/>
      <c r="E66" s="19"/>
      <c r="F66" s="1"/>
      <c r="G66" s="1"/>
      <c r="H66" s="1"/>
    </row>
    <row r="67" spans="1:8" ht="54" customHeight="1">
      <c r="A67" s="29"/>
      <c r="B67" s="19"/>
      <c r="C67" s="19"/>
      <c r="D67" s="30"/>
      <c r="E67" s="19"/>
      <c r="F67" s="1"/>
      <c r="G67" s="1"/>
      <c r="H67" s="1"/>
    </row>
    <row r="68" spans="1:8" ht="54" customHeight="1">
      <c r="A68" s="29"/>
      <c r="B68" s="19"/>
      <c r="C68" s="19"/>
      <c r="D68" s="30"/>
      <c r="E68" s="19"/>
      <c r="F68" s="1"/>
      <c r="G68" s="1"/>
      <c r="H68" s="1"/>
    </row>
    <row r="69" spans="1:8" ht="54" customHeight="1">
      <c r="A69" s="29"/>
      <c r="B69" s="19"/>
      <c r="C69" s="19"/>
      <c r="D69" s="30"/>
      <c r="E69" s="19"/>
      <c r="F69" s="1"/>
      <c r="G69" s="1"/>
      <c r="H69" s="1"/>
    </row>
    <row r="70" spans="1:8" ht="54" customHeight="1">
      <c r="A70" s="29"/>
      <c r="B70" s="19"/>
      <c r="C70" s="19"/>
      <c r="D70" s="30"/>
      <c r="E70" s="19"/>
      <c r="F70" s="1"/>
      <c r="G70" s="1"/>
      <c r="H70" s="1"/>
    </row>
    <row r="71" spans="1:8" ht="54" customHeight="1">
      <c r="A71" s="29"/>
      <c r="B71" s="19"/>
      <c r="C71" s="19"/>
      <c r="D71" s="30"/>
      <c r="E71" s="19"/>
      <c r="F71" s="1"/>
      <c r="G71" s="1"/>
      <c r="H71" s="1"/>
    </row>
    <row r="72" spans="1:8" ht="15" customHeight="1">
      <c r="A72" s="1"/>
      <c r="B72" s="1"/>
      <c r="C72" s="1"/>
      <c r="D72" s="1"/>
      <c r="E72" s="1"/>
      <c r="F72" s="1"/>
      <c r="G72" s="1"/>
      <c r="H72" s="1"/>
    </row>
    <row r="73" spans="1:8" ht="15" customHeight="1">
      <c r="A73" s="90"/>
      <c r="B73" s="91"/>
      <c r="C73" s="91"/>
      <c r="D73" s="91"/>
      <c r="E73" s="91"/>
      <c r="F73" s="92"/>
      <c r="G73" s="1"/>
      <c r="H73" s="1"/>
    </row>
    <row r="74" spans="1:8" ht="15" customHeight="1">
      <c r="A74" s="96"/>
      <c r="B74" s="77"/>
      <c r="C74" s="77"/>
      <c r="D74" s="77"/>
      <c r="E74" s="77"/>
      <c r="F74" s="97"/>
      <c r="G74" s="1"/>
      <c r="H74" s="1"/>
    </row>
    <row r="75" spans="1:8" ht="15" customHeight="1">
      <c r="A75" s="93"/>
      <c r="B75" s="94"/>
      <c r="C75" s="94"/>
      <c r="D75" s="94"/>
      <c r="E75" s="94"/>
      <c r="F75" s="95"/>
      <c r="G75" s="1"/>
      <c r="H75" s="1"/>
    </row>
  </sheetData>
  <mergeCells count="9">
    <mergeCell ref="A73:F73"/>
    <mergeCell ref="A1:F1"/>
    <mergeCell ref="A2:H2"/>
    <mergeCell ref="A75:F75"/>
    <mergeCell ref="A74:F74"/>
    <mergeCell ref="A45:E45"/>
    <mergeCell ref="A46:E46"/>
    <mergeCell ref="A44:E44"/>
    <mergeCell ref="B6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Zeiterfassung</vt:lpstr>
      <vt:lpstr>Budgetübersicht</vt:lpstr>
      <vt:lpstr>Einstellungen</vt:lpstr>
      <vt:lpstr>Datenbasis</vt:lpstr>
      <vt:lpstr>Auswertung</vt:lpstr>
      <vt:lpstr>Monatstätigkeitsschein</vt:lpstr>
      <vt:lpstr>Zeiterfassung!Druckbereich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Westen</cp:lastModifiedBy>
  <dcterms:created xsi:type="dcterms:W3CDTF">2026-07-04T13:50:44Z</dcterms:created>
  <dcterms:modified xsi:type="dcterms:W3CDTF">2026-07-15T09:41:54Z</dcterms:modified>
</cp:coreProperties>
</file>