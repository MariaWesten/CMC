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95dc8bc89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scheidungsmatrix" sheetId="1" r:id="R98919064919b401f"/>
    <x:sheet xmlns:r="http://schemas.openxmlformats.org/officeDocument/2006/relationships" name="Zusammenfassung" sheetId="2" r:id="Rd5dcbfd1855f4f57"/>
    <x:sheet xmlns:r="http://schemas.openxmlformats.org/officeDocument/2006/relationships" name="Vorteile &amp; Chancen" sheetId="3" r:id="R34fb5ae61eab477a"/>
    <x:sheet xmlns:r="http://schemas.openxmlformats.org/officeDocument/2006/relationships" name="Entwicklung vs Markttool" sheetId="4" r:id="R84cc3e43cd1e484b"/>
    <x:sheet xmlns:r="http://schemas.openxmlformats.org/officeDocument/2006/relationships" name="Anforderungsmatrix" sheetId="5" r:id="R8f25596c3d93467c"/>
    <x:sheet xmlns:r="http://schemas.openxmlformats.org/officeDocument/2006/relationships" name="Anbieter-Vergleich" sheetId="6" r:id="Ref3541f43bc842a2"/>
    <x:sheet xmlns:r="http://schemas.openxmlformats.org/officeDocument/2006/relationships" name="Risiken &amp; nächste Schritte" sheetId="7" r:id="Ra7a3df1d72fb4878"/>
    <x:sheet xmlns:r="http://schemas.openxmlformats.org/officeDocument/2006/relationships" name="Quellen" sheetId="8" r:id="R1b7e50d244c04ff3"/>
  </x:sheets>
</x:workbook>
</file>

<file path=xl/sharedStrings.xml><?xml version="1.0" encoding="utf-8"?>
<x:sst xmlns:x="http://schemas.openxmlformats.org/spreadsheetml/2006/main">
  <x:si>
    <x:t xml:space="preserve">Entscheidungsmatrix</x:t>
  </x:si>
  <x:si>
    <x:t xml:space="preserve">Bewertung: 1 = schwach / riskant, 5 = stark / passend. Gewichtung dient als Orientierung, nicht als finale Entscheidung.</x:t>
  </x:si>
  <x:si>
    <x:t xml:space="preserve">Kriterium</x:t>
  </x:si>
  <x:si>
    <x:t xml:space="preserve">Gewicht</x:t>
  </x:si>
  <x:si>
    <x:t xml:space="preserve">Eigenbau</x:t>
  </x:si>
  <x:si>
    <x:t xml:space="preserve">Markttool</x:t>
  </x:si>
  <x:si>
    <x:t xml:space="preserve">Kommentar</x:t>
  </x:si>
  <x:si>
    <x:t xml:space="preserve">Fit zum CSM/Data/Produktion-Prozess</x:t>
  </x:si>
  <x:si>
    <x:t xml:space="preserve">Eigenbau kann exakt auf Input, Exporte, Freigaben und QR-Prozess zugeschnitten werden. Markttools erfordern voraussichtlich Anpassungen/Workarounds.</x:t>
  </x:si>
  <x:si>
    <x:t xml:space="preserve">Initialaufwand / Time-to-Value</x:t>
  </x:si>
  <x:si>
    <x:t xml:space="preserve">Markttools können schneller getestet werden. Eigenbau braucht Entwicklung, Testbetrieb und Abnahme.</x:t>
  </x:si>
  <x:si>
    <x:t xml:space="preserve">Laufende Kosten planbar</x:t>
  </x:si>
  <x:si>
    <x:t xml:space="preserve">Eigenbau ist bei Managed Hosting grob planbar. Markttools sind bei diesem Volumen häufig Enterprise/Custom Pricing.</x:t>
  </x:si>
  <x:si>
    <x:t xml:space="preserve">Betriebsrisiko beherrschbar</x:t>
  </x:si>
  <x:si>
    <x:t xml:space="preserve">Markttools übernehmen Betrieb und Skalierung. Eigenbau braucht Hosting, Monitoring, Backups und klare Verantwortlichkeiten.</x:t>
  </x:si>
  <x:si>
    <x:t xml:space="preserve">Datenschutz/Kontrolle</x:t>
  </x:si>
  <x:si>
    <x:t xml:space="preserve">Beim Eigenbau sind EU-Hosting, Datenminimierung und Speicherfristen direkter steuerbar. Bei Markttools müssen AVV/DPA und Serverstandorte geprüft werden.</x:t>
  </x:si>
  <x:si>
    <x:t xml:space="preserve">Anbieter-/Plattformabhängigkeit</x:t>
  </x:si>
  <x:si>
    <x:t xml:space="preserve">Eigenbau reduziert die Abhängigkeit von Preismodell, Support und Produktentscheidungen eines Drittanbieters. Markttools können dafür Betrieb entlasten.</x:t>
  </x:si>
  <x:si>
    <x:t xml:space="preserve">Langfristige Wartbarkeit/Übergabe</x:t>
  </x:si>
  <x:si>
    <x:t xml:space="preserve">CMC-Eigentum ist kein Muss, bleibt aber strategischer Vorteil. Wichtig ist in beiden Fällen eine saubere Dokumentation und Übergabe.</x:t>
  </x:si>
  <x:si>
    <x:t xml:space="preserve">Gewichtete Summe</x:t>
  </x:si>
  <x:si>
    <x:t xml:space="preserve">Höchster Wert = aktuell stärkste Tendenz</x:t>
  </x:si>
  <x:si>
    <x:t xml:space="preserve">Interpretation</x:t>
  </x:si>
  <x:si>
    <x:t xml:space="preserve">Beide Wege bleiben möglich. Eigenbau punktet bei Prozess-Fit, Kontrolle und langfristiger Unabhängigkeit. Ein Markttool punktet bei schnellerem Start und ausgelagertem Betrieb. Für eine belastbare Entscheidung fehlen vor allem verbindliche Anbieterpreise und ein klares Zielbild für Betrieb und Wartung.</x:t>
  </x:si>
  <x:si>
    <x:t xml:space="preserve">Kurzfazit</x:t>
  </x:si>
  <x:si>
    <x:t xml:space="preserve">Einordnung</x:t>
  </x:si>
  <x:si>
    <x:t xml:space="preserve">Der Eigenbau hätte Einmalkosten für Entwicklung, wäre aber stärker kontrollierbar und langfristig gut übergabefähig. Externe Tools müssen bei 200.000-2.000.000 neuen Links/Monat sehr genau geprüft werden. Short.io wirkt nach öffentlicher Recherche am nächsten an den Anforderungen, aber der Preis ist nur als Mindestwert ab ca. 148 €/Monat zu verstehen und muss für unser Volumen schriftlich bestätigt werden.</x:t>
  </x:si>
  <x:si>
    <x:t xml:space="preserve">Chancen</x:t>
  </x:si>
  <x:si>
    <x:t xml:space="preserve">Ein Markttool kann ein schneller, unkomplizierter Testpfad mit wenig Anfangs-Commitment sein. Ein Eigenbau ist voraussichtlich der beste Prozess-Fit und kann später gezielt um weitere Funktionen erweitert werden.</x:t>
  </x:si>
  <x:si>
    <x:t xml:space="preserve">Empfehlung</x:t>
  </x:si>
  <x:si>
    <x:t xml:space="preserve">Nächster Schritt</x:t>
  </x:si>
  <x:si>
    <x:t xml:space="preserve">Short.io konkret anfragen, Dub kritisch gegen den Use Case prüfen und ein Enterprise-Benchmark-Angebot von Bitly/Rebrandly einholen. Parallel Eigenbau als Referenzoption konkretisieren und Datenschutz/Betrieb klären.</x:t>
  </x:si>
  <x:si>
    <x:t xml:space="preserve">QR-Code-/Tracking-Link-Tool: Eigenbau vs. externe Lösung</x:t>
  </x:si>
  <x:si>
    <x:t xml:space="preserve">Stand</x:t>
  </x:si>
  <x:si>
    <x:t xml:space="preserve">Ziel</x:t>
  </x:si>
  <x:si>
    <x:t xml:space="preserve">Malin langfristig ablösen und eine zuverlässige, kontrollierbare Lösung für Tracking-Links und QR-Codes schaffen.</x:t>
  </x:si>
  <x:si>
    <x:t xml:space="preserve">Aktuelles Malin</x:t>
  </x:si>
  <x:si>
    <x:t xml:space="preserve">ca. 8 €/Monat, fachlich passend, aber schwierige Zusammenarbeit und Anbieterabhängigkeit.</x:t>
  </x:si>
  <x:si>
    <x:t xml:space="preserve">Grundannahmen</x:t>
  </x:si>
  <x:si>
    <x:t xml:space="preserve">Annahme</x:t>
  </x:si>
  <x:si>
    <x:t xml:space="preserve">Wert</x:t>
  </x:si>
  <x:si>
    <x:t xml:space="preserve">Kampagnen pro Monat</x:t>
  </x:si>
  <x:si>
    <x:t xml:space="preserve">Links je Kampagne niedrig</x:t>
  </x:si>
  <x:si>
    <x:t xml:space="preserve">Links je Kampagne hoch</x:t>
  </x:si>
  <x:si>
    <x:t xml:space="preserve">Links pro Monat niedrig</x:t>
  </x:si>
  <x:si>
    <x:t xml:space="preserve">Links pro Monat mittel</x:t>
  </x:si>
  <x:si>
    <x:t xml:space="preserve">Links pro Monat hoch</x:t>
  </x:si>
  <x:si>
    <x:t xml:space="preserve">Scan-/Klickvolumen</x:t>
  </x:si>
  <x:si>
    <x:t xml:space="preserve">Noch offen; für Anbieterangebote separat anfragen</x:t>
  </x:si>
  <x:si>
    <x:t xml:space="preserve">Vorteile &amp; Chancen: Eigenbau vs. Markttool</x:t>
  </x:si>
  <x:si>
    <x:t xml:space="preserve">Beide Optionen haben echte Vorteile. Ein Markttool eignet sich besonders gut, um schnell und mit geringem Anfangs-Commitment zu testen. Ein Eigenbau ist die stärkere Zielarchitektur, wenn der Prozess exakt passen, langfristig kontrollierbar und später erweiterbar sein soll.</x:t>
  </x:si>
  <x:si>
    <x:t xml:space="preserve">Option</x:t>
  </x:si>
  <x:si>
    <x:t xml:space="preserve">Vorteile / Opportunities</x:t>
  </x:si>
  <x:si>
    <x:t xml:space="preserve">Warum relevant</x:t>
  </x:si>
  <x:si>
    <x:t xml:space="preserve">Mögliche Erweiterungen</x:t>
  </x:si>
  <x:si>
    <x:t xml:space="preserve">Professionelle Einordnung</x:t>
  </x:si>
  <x:si>
    <x:t xml:space="preserve">Frage</x:t>
  </x:si>
  <x:si>
    <x:t xml:space="preserve">Einschätzung</x:t>
  </x:si>
  <x:si>
    <x:t xml:space="preserve">Ist ein Markttool trotzdem sinnvoll?</x:t>
  </x:si>
  <x:si>
    <x:t xml:space="preserve">Ja, als schneller Test- und Vergleichspfad. Es reduziert den Startaufwand und schafft Preistransparenz, wenn Anbieter verbindliche Angebote für 200.000-2.000.000 neue Links/Monat abgeben.</x:t>
  </x:si>
  <x:si>
    <x:t xml:space="preserve">Ist Eigenbau der bessere Zielzustand?</x:t>
  </x:si>
  <x:si>
    <x:t xml:space="preserve">Wahrscheinlich ja, wenn Prozess-Fit, spätere Erweiterbarkeit, Datenkontrolle und langfristige Steuerbarkeit höher gewichtet werden als der schnellste Start.</x:t>
  </x:si>
  <x:si>
    <x:t xml:space="preserve">Kann das Tool später erweitert werden?</x:t>
  </x:si>
  <x:si>
    <x:t xml:space="preserve">Ja. Wenn die Basis sauber gebaut wird, kann das Tool modular wachsen: erst Upload, Linkgenerierung, QR-Ausgabe und Exporte; später Reporting, Rechte/Rollen, Freigaben, Monitoring und weitere Kampagnenfunktionen.</x:t>
  </x:si>
  <x:si>
    <x:t xml:space="preserve">Gesamtkosten: Eigenbau vs. Markttool</x:t>
  </x:si>
  <x:si>
    <x:t xml:space="preserve">Annahmen Eigenbau</x:t>
  </x:si>
  <x:si>
    <x:t xml:space="preserve">Parameter</x:t>
  </x:si>
  <x:si>
    <x:t xml:space="preserve">Niedrig</x:t>
  </x:si>
  <x:si>
    <x:t xml:space="preserve">Hoch</x:t>
  </x:si>
  <x:si>
    <x:t xml:space="preserve">Entwicklungsstunden Maria</x:t>
  </x:si>
  <x:si>
    <x:t xml:space="preserve">inkl. Abstimmung, Entwicklung, Tests und Dokumentation</x:t>
  </x:si>
  <x:si>
    <x:t xml:space="preserve">Stundensatz Maria</x:t>
  </x:si>
  <x:si>
    <x:t xml:space="preserve">€ pro Stunde</x:t>
  </x:si>
  <x:si>
    <x:t xml:space="preserve">Einmalige Entwicklungskosten</x:t>
  </x:si>
  <x:si>
    <x:t xml:space="preserve">Arbeitszeit; interne KI-/Toolkosten nicht eingerechnet</x:t>
  </x:si>
  <x:si>
    <x:t xml:space="preserve">Laufende Kosten Eigenbau</x:t>
  </x:si>
  <x:si>
    <x:t xml:space="preserve">Kostenblock</x:t>
  </x:si>
  <x:si>
    <x:t xml:space="preserve">Niedrig/Monat</x:t>
  </x:si>
  <x:si>
    <x:t xml:space="preserve">Hoch/Monat</x:t>
  </x:si>
  <x:si>
    <x:t xml:space="preserve">Managed Server inkl. Web-App/Datenbank</x:t>
  </x:si>
  <x:si>
    <x:t xml:space="preserve">ca. €/Monat; Annahme ohne zusätzlichen Admin</x:t>
  </x:si>
  <x:si>
    <x:t xml:space="preserve">Backups/Storage</x:t>
  </x:si>
  <x:si>
    <x:t xml:space="preserve">ca. €/Monat; abhängig vom Hostingpaket</x:t>
  </x:si>
  <x:si>
    <x:t xml:space="preserve">Monitoring/Uptime Checks</x:t>
  </x:si>
  <x:si>
    <x:t xml:space="preserve">ca. €/Monat; Basis bis externer Dienst</x:t>
  </x:si>
  <x:si>
    <x:t xml:space="preserve">Domain/DNS</x:t>
  </x:si>
  <x:si>
    <x:t xml:space="preserve">€/Monat; falls vorhandene CMC-Domain genutzt wird, ggf. 0</x:t>
  </x:si>
  <x:si>
    <x:t xml:space="preserve">Optional externer Betrieb</x:t>
  </x:si>
  <x:si>
    <x:t xml:space="preserve">€/Monat; z. B. Rent your Admin, nur falls gewünscht</x:t>
  </x:si>
  <x:si>
    <x:t xml:space="preserve">Summe Eigenbau Betrieb ohne externen Admin</x:t>
  </x:si>
  <x:si>
    <x:t xml:space="preserve">Managed Server + Backups + Monitoring + Domain</x:t>
  </x:si>
  <x:si>
    <x:t xml:space="preserve">Summe Eigenbau Betrieb mit externem Admin</x:t>
  </x:si>
  <x:si>
    <x:t xml:space="preserve">nur falls Betrieb ausgelagert wird</x:t>
  </x:si>
  <x:si>
    <x:t xml:space="preserve">Vergleich über 12 Monate</x:t>
  </x:si>
  <x:si>
    <x:t xml:space="preserve">Variante</x:t>
  </x:si>
  <x:si>
    <x:t xml:space="preserve">Einmalig niedrig</x:t>
  </x:si>
  <x:si>
    <x:t xml:space="preserve">Einmalig hoch</x:t>
  </x:si>
  <x:si>
    <x:t xml:space="preserve">Monatlich niedrig</x:t>
  </x:si>
  <x:si>
    <x:t xml:space="preserve">Monatlich hoch</x:t>
  </x:si>
  <x:si>
    <x:t xml:space="preserve">12 Monate niedrig</x:t>
  </x:si>
  <x:si>
    <x:t xml:space="preserve">12 Monate hoch</x:t>
  </x:si>
  <x:si>
    <x:t xml:space="preserve">Hinweis</x:t>
  </x:si>
  <x:si>
    <x:t xml:space="preserve">Eigenbau ohne externen Admin</x:t>
  </x:si>
  <x:si>
    <x:t xml:space="preserve">Betrieb intern/managed</x:t>
  </x:si>
  <x:si>
    <x:t xml:space="preserve">Eigenbau mit externem Admin</x:t>
  </x:si>
  <x:si>
    <x:t xml:space="preserve">inkl. optionaler Betriebsunterstützung</x:t>
  </x:si>
  <x:si>
    <x:t xml:space="preserve">Markttool: günstigster öffentlicher Mindestwert</x:t>
  </x:si>
  <x:si>
    <x:t xml:space="preserve">offen</x:t>
  </x:si>
  <x:si>
    <x:t xml:space="preserve">Short.io Enterprise ab ca. 148 €/Monat als interne Vergleichsgröße; tatsächlicher Preis für unser Volumen offen</x:t>
  </x:si>
  <x:si>
    <x:t xml:space="preserve">Markttool: Enterprise-Angebot</x:t>
  </x:si>
  <x:si>
    <x:t xml:space="preserve">Custom</x:t>
  </x:si>
  <x:si>
    <x:t xml:space="preserve">Dub, Bitly, Rebrandly und BL.INK müssen individuell angefragt werden</x:t>
  </x:si>
  <x:si>
    <x:t xml:space="preserve">Anforderungsmatrix</x:t>
  </x:si>
  <x:si>
    <x:t xml:space="preserve">Anforderung</x:t>
  </x:si>
  <x:si>
    <x:t xml:space="preserve">Gewichtung</x:t>
  </x:si>
  <x:si>
    <x:t xml:space="preserve">Short.io</x:t>
  </x:si>
  <x:si>
    <x:t xml:space="preserve">Dub</x:t>
  </x:si>
  <x:si>
    <x:t xml:space="preserve">Bitly</x:t>
  </x:si>
  <x:si>
    <x:t xml:space="preserve">Rebrandly</x:t>
  </x:si>
  <x:si>
    <x:t xml:space="preserve">BL.INK</x:t>
  </x:si>
  <x:si>
    <x:t xml:space="preserve">T2M</x:t>
  </x:si>
  <x:si>
    <x:t xml:space="preserve">Linkly</x:t>
  </x:si>
  <x:si>
    <x:t xml:space="preserve">200k-2M neue Links/Monat</x:t>
  </x:si>
  <x:si>
    <x:t xml:space="preserve">Muss</x:t>
  </x:si>
  <x:si>
    <x:t xml:space="preserve">Ja, gezielt baubar</x:t>
  </x:si>
  <x:si>
    <x:t xml:space="preserve">Wahrscheinlich, aber Preis/Volumen bestätigen</x:t>
  </x:si>
  <x:si>
    <x:t xml:space="preserve">Nur Enterprise; Standard Advanced 50k/Monat</x:t>
  </x:si>
  <x:si>
    <x:t xml:space="preserve">Nur Enterprise</x:t>
  </x:si>
  <x:si>
    <x:t xml:space="preserve">Nur High Volume/Enterprise</x:t>
  </x:si>
  <x:si>
    <x:t xml:space="preserve">Nur Custom</x:t>
  </x:si>
  <x:si>
    <x:t xml:space="preserve">Nur Enterprise/teuer</x:t>
  </x:si>
  <x:si>
    <x:t xml:space="preserve">größter Kostentreiber</x:t>
  </x:si>
  <x:si>
    <x:t xml:space="preserve">Custom Tracking-Domain</x:t>
  </x:si>
  <x:si>
    <x:t xml:space="preserve">Ja</x:t>
  </x:si>
  <x:si>
    <x:t xml:space="preserve">bei allen grundsätzlich möglich</x:t>
  </x:si>
  <x:si>
    <x:t xml:space="preserve">Bulk/API Link-Erstellung</x:t>
  </x:si>
  <x:si>
    <x:t xml:space="preserve">Enterprise/High Volume</x:t>
  </x:si>
  <x:si>
    <x:t xml:space="preserve">Ja/High Volume</x:t>
  </x:si>
  <x:si>
    <x:t xml:space="preserve">Premium/Custom</x:t>
  </x:si>
  <x:si>
    <x:t xml:space="preserve">Pro/Business</x:t>
  </x:si>
  <x:si>
    <x:t xml:space="preserve">genaue API-Limits anfragen</x:t>
  </x:si>
  <x:si>
    <x:t xml:space="preserve">Redirects stabil ohne Ads/Delay</x:t>
  </x:si>
  <x:si>
    <x:t xml:space="preserve">Ja, selbst kontrolliert</x:t>
  </x:si>
  <x:si>
    <x:t xml:space="preserve">SLA/Verfügbarkeit prüfen</x:t>
  </x:si>
  <x:si>
    <x:t xml:space="preserve">Klicktracking/Reporting</x:t>
  </x:si>
  <x:si>
    <x:t xml:space="preserve">Ja, aber Eventlimits</x:t>
  </x:si>
  <x:si>
    <x:t xml:space="preserve">Reporting-Detailtiefe vergleichen</x:t>
  </x:si>
  <x:si>
    <x:t xml:space="preserve">Datenexport</x:t>
  </x:si>
  <x:si>
    <x:t xml:space="preserve">Ja, Support/S3 je Plan</x:t>
  </x:si>
  <x:si>
    <x:t xml:space="preserve">Ja/Webhooks/API</x:t>
  </x:si>
  <x:si>
    <x:t xml:space="preserve">Enterprise/Export</x:t>
  </x:si>
  <x:si>
    <x:t xml:space="preserve">Enterprise/Sync</x:t>
  </x:si>
  <x:si>
    <x:t xml:space="preserve">Exportrechte vertraglich absichern</x:t>
  </x:si>
  <x:si>
    <x:t xml:space="preserve">AVV/DPA verfügbar/zu prüfen</x:t>
  </x:si>
  <x:si>
    <x:t xml:space="preserve">Ja, CMC kontrolliert</x:t>
  </x:si>
  <x:si>
    <x:t xml:space="preserve">Ja laut Pricing/GDPR-Hinweis; Details prüfen</x:t>
  </x:si>
  <x:si>
    <x:t xml:space="preserve">Anfragen</x:t>
  </x:si>
  <x:si>
    <x:t xml:space="preserve">Trust/DPA prüfen</x:t>
  </x:si>
  <x:si>
    <x:t xml:space="preserve">Trust Center prüfen</x:t>
  </x:si>
  <x:si>
    <x:t xml:space="preserve">GDPR genannt</x:t>
  </x:si>
  <x:si>
    <x:t xml:space="preserve">GDPR/Regionen genannt</x:t>
  </x:si>
  <x:si>
    <x:t xml:space="preserve">Enterprise DPA</x:t>
  </x:si>
  <x:si>
    <x:t xml:space="preserve">DPA = Data Processing Agreement; deutsch: AVV, also Auftragsverarbeitungsvertrag</x:t>
  </x:si>
  <x:si>
    <x:t xml:space="preserve">QR-Code-Bilder</x:t>
  </x:si>
  <x:si>
    <x:t xml:space="preserve">Optional</x:t>
  </x:si>
  <x:si>
    <x:t xml:space="preserve">Ja, baubar</x:t>
  </x:si>
  <x:si>
    <x:t xml:space="preserve">Ja laut Pricing</x:t>
  </x:si>
  <x:si>
    <x:t xml:space="preserve">Ja, Custom QR codes</x:t>
  </x:si>
  <x:si>
    <x:t xml:space="preserve">optional, nicht kaufentscheidend</x:t>
  </x:si>
  <x:si>
    <x:t xml:space="preserve">Kontrolle &amp; Wartbarkeit</x:t>
  </x:si>
  <x:si>
    <x:t xml:space="preserve">Strategischer Vorteil</x:t>
  </x:si>
  <x:si>
    <x:t xml:space="preserve">hoch</x:t>
  </x:si>
  <x:si>
    <x:t xml:space="preserve">abhängig vom Anbieter</x:t>
  </x:si>
  <x:si>
    <x:t xml:space="preserve">kein Muss mehr, aber relevant für Übergabe, Abhängigkeit und langfristige Steuerbarkeit</x:t>
  </x:si>
  <x:si>
    <x:t xml:space="preserve">Prozess passend für CSM/Data/Produktion</x:t>
  </x:si>
  <x:si>
    <x:t xml:space="preserve">Ja, exakt baubar</x:t>
  </x:si>
  <x:si>
    <x:t xml:space="preserve">Teilweise, Workarounds nötig</x:t>
  </x:si>
  <x:si>
    <x:t xml:space="preserve">Fraglich; eher Partner-/Affiliate-Fokus</x:t>
  </x:si>
  <x:si>
    <x:t xml:space="preserve">Teilweise</x:t>
  </x:si>
  <x:si>
    <x:t xml:space="preserve">Eigenbau passt am besten zum Prozess</x:t>
  </x:si>
  <x:si>
    <x:t xml:space="preserve">Anbieter-Vergleich</x:t>
  </x:si>
  <x:si>
    <x:t xml:space="preserve">Die Anbieter sind keine finale Bestenliste, sondern eine erste Shortlist und Benchmark-Auswahl: Short.io wirkt nach öffentlichen Informationen am nächsten am Use Case, Dub ist ein moderner Link-Management-Anbieter mit kritisch zu prüfendem Fit, Bitly/Rebrandly sind etablierte Enterprise-Benchmarks. BL.INK, T2M und Linkly dienen als zusätzliche Vergleichspunkte. QR Code Generator Pro ist bewusst als eher unpassende QR-Speziallösung aufgeführt.</x:t>
  </x:si>
  <x:si>
    <x:t xml:space="preserve">Anbieter</x:t>
  </x:si>
  <x:si>
    <x:t xml:space="preserve">Rolle in der Prüfung</x:t>
  </x:si>
  <x:si>
    <x:t xml:space="preserve">Öffentlicher Plan / Preis</x:t>
  </x:si>
  <x:si>
    <x:t xml:space="preserve">Relevante Limits</x:t>
  </x:si>
  <x:si>
    <x:t xml:space="preserve">Eignung für CMC</x:t>
  </x:si>
  <x:si>
    <x:t xml:space="preserve">Bewertung / nächster Schritt</x:t>
  </x:si>
  <x:si>
    <x:t xml:space="preserve">Priorität hoch</x:t>
  </x:si>
  <x:si>
    <x:t xml:space="preserve">Enterprise ab ca. 148 €/Monat; Team ca. 48 €/Monat mit 100.000 Link-Automation/Jahr</x:t>
  </x:si>
  <x:si>
    <x:t xml:space="preserve">Enterprise: Link Automation unlimited laut Pricing; Team reicht nicht für unser Monatsvolumen</x:t>
  </x:si>
  <x:si>
    <x:t xml:space="preserve">Am nächsten dran: Bulk/API, QR, Tracking, Custom Domains, GDPR-Hinweis, SLA ab Team.</x:t>
  </x:si>
  <x:si>
    <x:t xml:space="preserve">Als erstes anfragen: 2 Mio neue Links/Monat, AVV/DPA, SLA, Export, Kündigungsfall. Der öffentliche Preis ist nur Mindestwert und nach oben offen.</x:t>
  </x:si>
  <x:si>
    <x:t xml:space="preserve">Priorität mittel / kritisch prüfen</x:t>
  </x:si>
  <x:si>
    <x:t xml:space="preserve">Advanced ca. 250 €/Monat; Enterprise Custom</x:t>
  </x:si>
  <x:si>
    <x:t xml:space="preserve">Business 10k neue Links/Monat, Advanced 50k, Enterprise unlimited</x:t>
  </x:si>
  <x:si>
    <x:t xml:space="preserve">Technisch Links/QR/API/Analytics, aber öffentlicher Auftritt wirkt stark auf Partner-/Affiliate-Programme ausgelegt.</x:t>
  </x:si>
  <x:si>
    <x:t xml:space="preserve">Nicht als passend voraussetzen. Use Case schildern und bestätigen lassen, ob reine Gutschein-/Mailing-Massenlinks ohne Partnerprogramm sinnvoll unterstützt werden.</x:t>
  </x:si>
  <x:si>
    <x:t xml:space="preserve">Enterprise-Benchmark</x:t>
  </x:si>
  <x:si>
    <x:t xml:space="preserve">Premium ca. 300 €/Monat; Enterprise Custom</x:t>
  </x:si>
  <x:si>
    <x:t xml:space="preserve">Premium 3.000 Links/Monat, 200 QR Codes/Monat; Enterprise at-scale</x:t>
  </x:si>
  <x:si>
    <x:t xml:space="preserve">Sehr etablierter Anbieter, aber Standardpläne viel zu klein.</x:t>
  </x:si>
  <x:si>
    <x:t xml:space="preserve">Enterprise-Angebot als Preisanker anfragen.</x:t>
  </x:si>
  <x:si>
    <x:t xml:space="preserve">Professional ca. 39 €/Monat; High Volume/Enterprise</x:t>
  </x:si>
  <x:si>
    <x:t xml:space="preserve">Professional 1.500 Links/Monat; High Volume für größere Mengen</x:t>
  </x:si>
  <x:si>
    <x:t xml:space="preserve">Funktional grundsätzlich passend, aber unser Volumen ist High-Volume/Enterprise.</x:t>
  </x:si>
  <x:si>
    <x:t xml:space="preserve">High-Volume-Angebot für 200k/1,1M/2M neue Links/Monat anfragen.</x:t>
  </x:si>
  <x:si>
    <x:t xml:space="preserve">Zusätzlicher Enterprise-Vergleich</x:t>
  </x:si>
  <x:si>
    <x:t xml:space="preserve">Business ca. 599 €/Monat; Enterprise Custom</x:t>
  </x:si>
  <x:si>
    <x:t xml:space="preserve">Business 250.000+ aktive Links, aber Dynamic Links 1.000; Enterprise Custom</x:t>
  </x:si>
  <x:si>
    <x:t xml:space="preserve">Enterprise-orientiert, Compliance stark, aber Standardplan unklar/unpassend für Dynamic/Massenlinks.</x:t>
  </x:si>
  <x:si>
    <x:t xml:space="preserve">Nur anfragen, wenn ein weiterer Enterprise-Vergleich gewünscht ist.</x:t>
  </x:si>
  <x:si>
    <x:t xml:space="preserve">Zusätzlicher Vergleich</x:t>
  </x:si>
  <x:si>
    <x:t xml:space="preserve">Premium ca. 90 €/Monat; Custom Plan</x:t>
  </x:si>
  <x:si>
    <x:t xml:space="preserve">Premium 50.000 Short URLs/Monat und 250.000 Redirects/Monat</x:t>
  </x:si>
  <x:si>
    <x:t xml:space="preserve">Funktional viel dabei, aber Standardlimit reicht nicht.</x:t>
  </x:si>
  <x:si>
    <x:t xml:space="preserve">Custom-Angebot nur anfragen, falls Short.io/Dub nicht passen.</x:t>
  </x:si>
  <x:si>
    <x:t xml:space="preserve">Nicht priorisiert</x:t>
  </x:si>
  <x:si>
    <x:t xml:space="preserve">Business ca. 107 €/Monat; Add-ons</x:t>
  </x:si>
  <x:si>
    <x:t xml:space="preserve">5.000 Links/Monat, +1.000 Links für ca. 20,50 €</x:t>
  </x:si>
  <x:si>
    <x:t xml:space="preserve">Funktional gut für kleinere Kampagnen, aber bei unserem Volumen rechnerisch teuer.</x:t>
  </x:si>
  <x:si>
    <x:t xml:space="preserve">Nur als Vergleich behalten.</x:t>
  </x:si>
  <x:si>
    <x:t xml:space="preserve">QR Code Generator Pro</x:t>
  </x:si>
  <x:si>
    <x:t xml:space="preserve">Professional/Enterprise</x:t>
  </x:si>
  <x:si>
    <x:t xml:space="preserve">Professional eher auf wenige dynamische QR-Codes ausgelegt</x:t>
  </x:si>
  <x:si>
    <x:t xml:space="preserve">Zu QR-Code-fokussiert; unser Kernproblem sind Massen-Tracking-Links.</x:t>
  </x:si>
  <x:si>
    <x:t xml:space="preserve">Nicht weiter priorisieren.</x:t>
  </x:si>
  <x:si>
    <x:t xml:space="preserve">Direkte Quellen</x:t>
  </x:si>
  <x:si>
    <x:t xml:space="preserve">Quelle</x:t>
  </x:si>
  <x:si>
    <x:t xml:space="preserve">https://short.io/pricing</x:t>
  </x:si>
  <x:si>
    <x:t xml:space="preserve">https://dub.co/pricing</x:t>
  </x:si>
  <x:si>
    <x:t xml:space="preserve">https://bitly.com/pages/pricing</x:t>
  </x:si>
  <x:si>
    <x:t xml:space="preserve">https://www.rebrandly.com/pricing</x:t>
  </x:si>
  <x:si>
    <x:t xml:space="preserve">https://www.bl.ink/pricing</x:t>
  </x:si>
  <x:si>
    <x:t xml:space="preserve">https://t2mio.com/pricing/</x:t>
  </x:si>
  <x:si>
    <x:t xml:space="preserve">https://linklyhq.com/pricing</x:t>
  </x:si>
  <x:si>
    <x:t xml:space="preserve">https://www.qr-code-generator.com/pricing/</x:t>
  </x:si>
  <x:si>
    <x:t xml:space="preserve">Risiken, Datenschutz und nächste Schritte</x:t>
  </x:si>
  <x:si>
    <x:t xml:space="preserve">Risiken</x:t>
  </x:si>
  <x:si>
    <x:t xml:space="preserve">Risiko/Frage</x:t>
  </x:si>
  <x:si>
    <x:t xml:space="preserve">Mögliche Auswirkung</x:t>
  </x:si>
  <x:si>
    <x:t xml:space="preserve">Mitigation / Entscheidung</x:t>
  </x:si>
  <x:si>
    <x:t xml:space="preserve">Hosting und Infrastruktur</x:t>
  </x:si>
  <x:si>
    <x:t xml:space="preserve">Links aus Mailings werfen Fehler oder sind nicht erreichbar.</x:t>
  </x:si>
  <x:si>
    <x:t xml:space="preserve">Managed Server mit Monitoring/Backups; optional Betrieb an Rent your Admin geben.</x:t>
  </x:si>
  <x:si>
    <x:t xml:space="preserve">Datenschutz</x:t>
  </x:si>
  <x:si>
    <x:t xml:space="preserve">Trackingdaten dürfen ggf. nicht in geplanter Form gespeichert werden.</x:t>
  </x:si>
  <x:si>
    <x:t xml:space="preserve">Vor Produktivstart klären: Datenarten, Speicherfristen, IP/User-Agent, AVV/DPA.</x:t>
  </x:si>
  <x:si>
    <x:t xml:space="preserve">Server im Ausland</x:t>
  </x:si>
  <x:si>
    <x:t xml:space="preserve">Für Links technisch meist kein Problem, aber datenschutzrechtlich relevant, wenn personenbezogene Trackingdaten verarbeitet werden.</x:t>
  </x:si>
  <x:si>
    <x:t xml:space="preserve">EU-Hosting bevorzugen oder AVV/DPA, SCC/TIA und Datenminimierung klären. Reine Redirect-Ziel-URL ist weniger kritisch als Klicktracking mit IP/User-Agent.</x:t>
  </x:si>
  <x:si>
    <x:t xml:space="preserve">Linkgenerierung fällt aus</x:t>
  </x:si>
  <x:si>
    <x:t xml:space="preserve">Mailings können nicht rechtzeitig rausgehen.</x:t>
  </x:si>
  <x:si>
    <x:t xml:space="preserve">Fallback-Prozess, Tests, Staging, Export-Wiederholung, klare Verantwortlichkeit.</x:t>
  </x:si>
  <x:si>
    <x:t xml:space="preserve">Reporting unvollständig</x:t>
  </x:si>
  <x:si>
    <x:t xml:space="preserve">Kampagnenauswertung ist nicht belastbar.</x:t>
  </x:si>
  <x:si>
    <x:t xml:space="preserve">Tracking asynchron, Plausibilitätschecks, Exportprüfung.</x:t>
  </x:si>
  <x:si>
    <x:t xml:space="preserve">Falsche Ziel-URLs</x:t>
  </x:si>
  <x:si>
    <x:t xml:space="preserve">QR-Codes leiten falsch weiter.</x:t>
  </x:si>
  <x:si>
    <x:t xml:space="preserve">Validierung, Preview, Scan-Test vor Produktionsfreigabe.</x:t>
  </x:si>
  <x:si>
    <x:t xml:space="preserve">Anbieterabhängigkeit extern</x:t>
  </x:si>
  <x:si>
    <x:t xml:space="preserve">Kosten/Verfügbarkeit/Support liegen außerhalb CMC-Kontrolle.</x:t>
  </x:si>
  <x:si>
    <x:t xml:space="preserve">SLA/AVV/DPA/Exportrechte/Kündigungsfall vertraglich prüfen; Eigenbau als Alternative.</x:t>
  </x:si>
  <x:si>
    <x:t xml:space="preserve">Nächste Schritte auf Management-Ebene</x:t>
  </x:si>
  <x:si>
    <x:t xml:space="preserve">Was fehlt für die Entscheidung?</x:t>
  </x:si>
  <x:si>
    <x:t xml:space="preserve">Priorität</x:t>
  </x:si>
  <x:si>
    <x:t xml:space="preserve">Sollen die Preise externer Anbieter genauer werden?</x:t>
  </x:si>
  <x:si>
    <x:t xml:space="preserve">Short.io, Dub und Bitly/Rebrandly mit identischem Volumenprofil anfragen.</x:t>
  </x:si>
  <x:si>
    <x:t xml:space="preserve">Welche Anbieter kommen auf die Shortlist?</x:t>
  </x:si>
  <x:si>
    <x:t xml:space="preserve">Vorschlag: Short.io priorisieren, Dub kritisch prüfen, Bitly/Rebrandly als Benchmark nutzen.</x:t>
  </x:si>
  <x:si>
    <x:t xml:space="preserve">Eigenbau vs. Markttool?</x:t>
  </x:si>
  <x:si>
    <x:t xml:space="preserve">Entscheiden, ob Prozess-Fit, Kontrolle und Wartbarkeit wichtiger sind als schneller Start und ausgelagerter Betrieb.</x:t>
  </x:si>
  <x:si>
    <x:t xml:space="preserve">Welcher technische Ansatz beim Eigenbau?</x:t>
  </x:si>
  <x:si>
    <x:t xml:space="preserve">Web-App mit Datenbank, CSV-Upload, Tracking-Link-Erstellung, QR-Ausgabe, Reporting und Exporten konkretisieren.</x:t>
  </x:si>
  <x:si>
    <x:t xml:space="preserve">Quellen / Pricing-Seiten</x:t>
  </x:si>
  <x:si>
    <x:t xml:space="preserve">Thema</x:t>
  </x:si>
  <x:si>
    <x:t xml:space="preserve">Notiz</x:t>
  </x:si>
  <x:si>
    <x:t xml:space="preserve">Enterprise ab ca. 148 €/Monat; Link Automation unlimited; QR-Code, API, Export, GDPR-Hinweis</x:t>
  </x:si>
  <x:si>
    <x:t xml:space="preserve">Business 10k, Advanced 50k neue Links/Monat, Enterprise unlimited; QR/API/Analytics vorhanden</x:t>
  </x:si>
  <x:si>
    <x:t xml:space="preserve">Premium 3.000 Links/Monat, Enterprise Custom mit at-scale Link/QR und API</x:t>
  </x:si>
  <x:si>
    <x:t xml:space="preserve">Standardpläne klein; High Volume/Enterprise für große Mengen</x:t>
  </x:si>
  <x:si>
    <x:t xml:space="preserve">Business/Enterprise, QR/Short Links, GDPR, Dynamic Links Limits</x:t>
  </x:si>
  <x:si>
    <x:t xml:space="preserve">Business 5.000 Links/Monat, Add-on 1.000 Links</x:t>
  </x:si>
  <x:si>
    <x:t xml:space="preserve">Premium 50.000 Short URLs/Monat; Custom Plan für größere Limits; AWS-Regionen erwähnt</x:t>
  </x:si>
  <x:si>
    <x:t xml:space="preserve">QR Code Generator</x:t>
  </x:si>
  <x:si>
    <x:t xml:space="preserve">QR-Code-Plattform, weniger passend für Millionen individuelle Tracking-Links</x:t>
  </x:si>
</x:sst>
</file>

<file path=xl/styles.xml><?xml version="1.0" encoding="utf-8"?>
<x:styleSheet xmlns:x="http://schemas.openxmlformats.org/spreadsheetml/2006/main">
  <x:numFmts count="1">
    <x:numFmt numFmtId="164" formatCode="#,##0\ \€"/>
  </x:numFmts>
  <x:fonts count="12">
    <x:font>
      <x:sz val="11"/>
      <x:name val="Carlito"/>
    </x:font>
    <x:font>
      <x:b/>
      <x:sz val="10"/>
      <x:color rgb="FF1F2937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0"/>
      <x:color rgb="FF374151"/>
      <x:name val="Arial"/>
    </x:font>
    <x:font>
      <x:sz val="11"/>
      <x:name val="Carlito"/>
    </x:font>
    <x:font>
      <x:b/>
      <x:sz val="10"/>
      <x:color rgb="FF1F2937"/>
      <x:name val="Arial"/>
    </x:font>
    <x:font>
      <x:sz val="11"/>
      <x:color theme="10"/>
      <x:name val="Carlito"/>
    </x:font>
    <x:font>
      <x:sz val="10"/>
      <x:name val="Arial"/>
    </x:font>
    <x:font>
      <x:b/>
      <x:sz val="11"/>
      <x:color rgb="FF37415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medium">
        <x:color rgb="FF1F4E78"/>
      </x:top>
      <x:bottom style="thin">
        <x:color rgb="FFD9E2F3"/>
      </x:bottom>
    </x:border>
  </x:borders>
  <x:cellStyleXfs count="3">
    <x:xf numFmtId="0" fontId="0" fillId="0" borderId="0"/>
    <x:xf numFmtId="0" fontId="6" fillId="0" borderId="0"/>
    <x:xf numFmtId="0" fontId="8" fillId="0" borderId="0" applyNumberFormat="0" applyFill="0" applyBorder="0" applyAlignment="0" applyProtection="0"/>
  </x:cellStyleXfs>
  <x:cellXfs count="56">
    <x:xf numFmtId="0" fontId="0" fillId="0" borderId="0" xfId="0"/>
    <x:xf numFmtId="0" fontId="2" fillId="0" borderId="0" xfId="1" applyFont="1" applyAlignment="1">
      <x:alignment wrapText="1"/>
    </x:xf>
    <x:xf numFmtId="0" fontId="3" fillId="2" borderId="1" xfId="1" applyFont="1" applyFill="1" applyBorder="1" applyAlignment="1">
      <x:alignment horizontal="center" vertical="top" wrapText="1"/>
    </x:xf>
    <x:xf numFmtId="0" fontId="2" fillId="0" borderId="1" xfId="1" applyFont="1" applyBorder="1" applyAlignment="1">
      <x:alignment vertical="top" wrapText="1"/>
    </x:xf>
    <x:xf numFmtId="0" fontId="1" fillId="0" borderId="0" xfId="1" applyFont="1" applyAlignment="1">
      <x:alignment wrapText="1"/>
    </x:xf>
    <x:xf numFmtId="0" fontId="5" fillId="0" borderId="0" xfId="1" applyFont="1" applyAlignment="1">
      <x:alignment wrapText="1"/>
    </x:xf>
    <x:xf numFmtId="0" fontId="2" fillId="0" borderId="0" xfId="1" applyFont="1" applyAlignment="1">
      <x:alignment wrapText="1"/>
    </x:xf>
    <x:xf numFmtId="0" fontId="2" fillId="0" borderId="0" xfId="1" applyFont="1" applyAlignment="1">
      <x:alignment horizontal="left" vertical="center" wrapText="1"/>
    </x:xf>
    <x:xf numFmtId="0" fontId="7" fillId="0" borderId="0" xfId="1" applyFont="1" applyAlignment="1">
      <x:alignment vertical="center" wrapText="1"/>
    </x:xf>
    <x:xf numFmtId="0" fontId="2" fillId="0" borderId="0" xfId="1" applyFont="1" applyAlignment="1">
      <x:alignment vertical="center" wrapText="1"/>
    </x:xf>
    <x:xf numFmtId="0" fontId="0" fillId="0" borderId="0" xfId="0" applyAlignment="1">
      <x:alignment vertical="center"/>
    </x:xf>
    <x:xf numFmtId="0" fontId="3" fillId="2" borderId="1" xfId="1" applyFont="1" applyFill="1" applyBorder="1" applyAlignment="1">
      <x:alignment horizontal="center" vertical="center" wrapText="1"/>
    </x:xf>
    <x:xf numFmtId="0" fontId="2" fillId="0" borderId="1" xfId="1" applyFont="1" applyBorder="1" applyAlignment="1">
      <x:alignment vertical="center" wrapText="1"/>
    </x:xf>
    <x:xf numFmtId="0" fontId="4" fillId="0" borderId="2" xfId="1" applyFont="1" applyBorder="1" applyAlignment="1">
      <x:alignment vertical="center" wrapText="1"/>
    </x:xf>
    <x:xf numFmtId="0" fontId="5" fillId="0" borderId="0" xfId="1" applyFont="1" applyAlignment="1">
      <x:alignment vertical="center" wrapText="1"/>
    </x:xf>
    <x:xf numFmtId="0" fontId="2" fillId="0" borderId="0" xfId="1" applyFont="1" applyAlignment="1">
      <x:alignment vertical="center" wrapText="1"/>
    </x:xf>
    <x:xf numFmtId="0" fontId="9" fillId="0" borderId="0" xfId="1" applyFont="1" applyAlignment="1">
      <x:alignment vertical="center" wrapText="1"/>
    </x:xf>
    <x:xf numFmtId="0" fontId="1" fillId="0" borderId="0" xfId="1" applyFont="1" applyAlignment="1">
      <x:alignment vertical="center" wrapText="1"/>
    </x:xf>
    <x:xf numFmtId="0" fontId="2" fillId="0" borderId="0" xfId="1" applyFont="1" applyAlignment="1">
      <x:alignment vertical="center"/>
    </x:xf>
    <x:xf numFmtId="0" fontId="9" fillId="0" borderId="0" xfId="1" applyFont="1" applyAlignment="1">
      <x:alignment vertical="center"/>
    </x:xf>
    <x:xf numFmtId="0" fontId="5" fillId="0" borderId="0" xfId="1" applyFont="1" applyAlignment="1">
      <x:alignment vertical="center"/>
    </x:xf>
    <x:xf numFmtId="14" fontId="2" fillId="0" borderId="0" xfId="1" applyNumberFormat="1" applyFont="1" applyAlignment="1">
      <x:alignment vertical="center" wrapText="1"/>
    </x:xf>
    <x:xf numFmtId="0" fontId="1" fillId="0" borderId="0" xfId="1" applyFont="1" applyAlignment="1">
      <x:alignment vertical="center"/>
    </x:xf>
    <x:xf numFmtId="0" fontId="9" fillId="0" borderId="1" xfId="1" applyFont="1" applyBorder="1" applyAlignment="1">
      <x:alignment vertical="center" wrapText="1"/>
    </x:xf>
    <x:xf numFmtId="3" fontId="2" fillId="0" borderId="1" xfId="1" applyNumberFormat="1" applyFont="1" applyBorder="1" applyAlignment="1">
      <x:alignment vertical="center" wrapText="1"/>
    </x:xf>
    <x:xf numFmtId="164" fontId="2" fillId="0" borderId="1" xfId="1" applyNumberFormat="1" applyFont="1" applyBorder="1" applyAlignment="1">
      <x:alignment vertical="center" wrapText="1"/>
    </x:xf>
    <x:xf numFmtId="164" fontId="4" fillId="0" borderId="2" xfId="1" applyNumberFormat="1" applyFont="1" applyBorder="1" applyAlignment="1">
      <x:alignment vertical="center" wrapText="1"/>
    </x:xf>
    <x:xf numFmtId="0" fontId="4" fillId="0" borderId="1" xfId="1" applyFont="1" applyBorder="1" applyAlignment="1">
      <x:alignment vertical="center" wrapText="1"/>
    </x:xf>
    <x:xf numFmtId="164" fontId="4" fillId="0" borderId="1" xfId="1" applyNumberFormat="1" applyFont="1" applyBorder="1" applyAlignment="1">
      <x:alignment vertical="center" wrapText="1"/>
    </x:xf>
    <x:xf numFmtId="164" fontId="2" fillId="0" borderId="1" xfId="1" applyNumberFormat="1" applyFont="1" applyBorder="1" applyAlignment="1">
      <x:alignment horizontal="right" vertical="center" wrapText="1"/>
    </x:xf>
    <x:xf numFmtId="0" fontId="8" fillId="0" borderId="1" xfId="2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 applyAlignment="1">
      <x:alignment horizontal="center" vertical="center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1" fillId="2" borderId="1" xfId="0" applyNumberFormat="1" applyFont="1" applyFill="1" applyBorder="1" applyAlignment="1">
      <x:alignment horizontal="center" vertical="top" wrapText="1"/>
    </x:xf>
    <x:xf numFmtId="0" fontId="11" fillId="4" borderId="1" xfId="0" applyNumberFormat="1" applyFont="1" applyFill="1" applyBorder="1" applyAlignment="1">
      <x:alignment horizontal="center" vertical="top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3">
    <x:cellStyle name="Link" xfId="2"/>
    <x:cellStyle name="Normal" xfId="1"/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ab63a24a74d2e" /><Relationship Type="http://schemas.openxmlformats.org/officeDocument/2006/relationships/theme" Target="/xl/theme/theme1.xml" Id="R277f1ccae61048e0" /><Relationship Type="http://schemas.openxmlformats.org/officeDocument/2006/relationships/sharedStrings" Target="/xl/sharedStrings.xml" Id="Rfc49d5e8236f4367" /><Relationship Type="http://schemas.openxmlformats.org/officeDocument/2006/relationships/worksheet" Target="/xl/worksheets/sheet1.xml" Id="R98919064919b401f" /><Relationship Type="http://schemas.openxmlformats.org/officeDocument/2006/relationships/worksheet" Target="/xl/worksheets/sheet2.xml" Id="Rd5dcbfd1855f4f57" /><Relationship Type="http://schemas.openxmlformats.org/officeDocument/2006/relationships/worksheet" Target="/xl/worksheets/sheet3.xml" Id="R34fb5ae61eab477a" /><Relationship Type="http://schemas.openxmlformats.org/officeDocument/2006/relationships/worksheet" Target="/xl/worksheets/sheet4.xml" Id="R84cc3e43cd1e484b" /><Relationship Type="http://schemas.openxmlformats.org/officeDocument/2006/relationships/worksheet" Target="/xl/worksheets/sheet5.xml" Id="R8f25596c3d93467c" /><Relationship Type="http://schemas.openxmlformats.org/officeDocument/2006/relationships/worksheet" Target="/xl/worksheets/sheet6.xml" Id="Ref3541f43bc842a2" /><Relationship Type="http://schemas.openxmlformats.org/officeDocument/2006/relationships/worksheet" Target="/xl/worksheets/sheet7.xml" Id="Ra7a3df1d72fb4878" /><Relationship Type="http://schemas.openxmlformats.org/officeDocument/2006/relationships/worksheet" Target="/xl/worksheets/sheet8.xml" Id="R1b7e50d244c04f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linklyhq.com/pricing" TargetMode="External" Id="R1647e777cc7048e3" /></Relationships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33.33203125" style="10" customWidth="1"/>
    <x:col min="2" max="2" width="10" style="10" customWidth="1"/>
    <x:col min="3" max="4" width="15.5" style="10" customWidth="1"/>
    <x:col min="5" max="5" width="71.1640625" style="10" customWidth="1"/>
    <x:col min="6" max="16384" width="8.83203125" style="10" customWidth="0"/>
  </x:cols>
  <x:sheetData>
    <x:row r="1">
      <x:c r="A1" s="8" t="s">
        <x:v>0</x:v>
      </x:c>
      <x:c r="B1" s="9"/>
      <x:c r="C1" s="9"/>
      <x:c r="D1" s="9"/>
      <x:c r="E1" s="9"/>
    </x:row>
    <x:row r="2">
      <x:c r="A2" s="9"/>
      <x:c r="B2" s="9"/>
      <x:c r="C2" s="9"/>
      <x:c r="D2" s="9"/>
      <x:c r="E2" s="9"/>
    </x:row>
    <x:row r="3">
      <x:c r="A3" s="7" t="s">
        <x:v>1</x:v>
      </x:c>
      <x:c r="B3" s="7"/>
      <x:c r="C3" s="7"/>
      <x:c r="D3" s="7"/>
      <x:c r="E3" s="9"/>
    </x:row>
    <x:row r="4">
      <x:c r="A4" s="9"/>
      <x:c r="B4" s="9"/>
      <x:c r="C4" s="9"/>
      <x:c r="D4" s="9"/>
      <x:c r="E4" s="9"/>
    </x:row>
    <x:row r="5">
      <x:c r="A5" s="11" t="s">
        <x:v>2</x:v>
      </x:c>
      <x:c r="B5" s="11" t="s">
        <x:v>3</x:v>
      </x:c>
      <x:c r="C5" s="11" t="s">
        <x:v>4</x:v>
      </x:c>
      <x:c r="D5" s="11" t="s">
        <x:v>5</x:v>
      </x:c>
      <x:c r="E5" s="11" t="s">
        <x:v>6</x:v>
      </x:c>
    </x:row>
    <x:row r="6" ht="28">
      <x:c r="A6" s="12" t="s">
        <x:v>7</x:v>
      </x:c>
      <x:c r="B6" s="12">
        <x:v>25</x:v>
      </x:c>
      <x:c r="C6" s="12">
        <x:v>5</x:v>
      </x:c>
      <x:c r="D6" s="12">
        <x:v>3</x:v>
      </x:c>
      <x:c r="E6" s="12" t="s">
        <x:v>8</x:v>
      </x:c>
    </x:row>
    <x:row r="7" ht="28">
      <x:c r="A7" s="12" t="s">
        <x:v>9</x:v>
      </x:c>
      <x:c r="B7" s="12">
        <x:v>15</x:v>
      </x:c>
      <x:c r="C7" s="12">
        <x:v>2</x:v>
      </x:c>
      <x:c r="D7" s="12">
        <x:v>5</x:v>
      </x:c>
      <x:c r="E7" s="12" t="s">
        <x:v>10</x:v>
      </x:c>
    </x:row>
    <x:row r="8" ht="28">
      <x:c r="A8" s="12" t="s">
        <x:v>11</x:v>
      </x:c>
      <x:c r="B8" s="12">
        <x:v>15</x:v>
      </x:c>
      <x:c r="C8" s="12">
        <x:v>4</x:v>
      </x:c>
      <x:c r="D8" s="12">
        <x:v>3</x:v>
      </x:c>
      <x:c r="E8" s="12" t="s">
        <x:v>12</x:v>
      </x:c>
    </x:row>
    <x:row r="9" ht="28">
      <x:c r="A9" s="12" t="s">
        <x:v>13</x:v>
      </x:c>
      <x:c r="B9" s="12">
        <x:v>15</x:v>
      </x:c>
      <x:c r="C9" s="12">
        <x:v>3</x:v>
      </x:c>
      <x:c r="D9" s="12">
        <x:v>4</x:v>
      </x:c>
      <x:c r="E9" s="12" t="s">
        <x:v>14</x:v>
      </x:c>
    </x:row>
    <x:row r="10" ht="28">
      <x:c r="A10" s="12" t="s">
        <x:v>15</x:v>
      </x:c>
      <x:c r="B10" s="12">
        <x:v>10</x:v>
      </x:c>
      <x:c r="C10" s="12">
        <x:v>4</x:v>
      </x:c>
      <x:c r="D10" s="12">
        <x:v>3</x:v>
      </x:c>
      <x:c r="E10" s="12" t="s">
        <x:v>16</x:v>
      </x:c>
    </x:row>
    <x:row r="11" ht="28">
      <x:c r="A11" s="12" t="s">
        <x:v>17</x:v>
      </x:c>
      <x:c r="B11" s="12">
        <x:v>10</x:v>
      </x:c>
      <x:c r="C11" s="12">
        <x:v>4</x:v>
      </x:c>
      <x:c r="D11" s="12">
        <x:v>2</x:v>
      </x:c>
      <x:c r="E11" s="12" t="s">
        <x:v>18</x:v>
      </x:c>
    </x:row>
    <x:row r="12" ht="28">
      <x:c r="A12" s="12" t="s">
        <x:v>19</x:v>
      </x:c>
      <x:c r="B12" s="12">
        <x:v>10</x:v>
      </x:c>
      <x:c r="C12" s="12">
        <x:v>4</x:v>
      </x:c>
      <x:c r="D12" s="12">
        <x:v>3</x:v>
      </x:c>
      <x:c r="E12" s="12" t="s">
        <x:v>20</x:v>
      </x:c>
    </x:row>
    <x:row r="13">
      <x:c r="A13" s="13" t="s">
        <x:v>21</x:v>
      </x:c>
      <x:c r="B13" s="13" t="n">
        <x:f>SUM(B6:B12)</x:f>
        <x:v>100</x:v>
      </x:c>
      <x:c r="C13" s="13" t="n">
        <x:f>SUMPRODUCT($B$6:$B$12,C6:C12)</x:f>
        <x:v>380</x:v>
      </x:c>
      <x:c r="D13" s="13" t="n">
        <x:f>SUMPRODUCT($B$6:$B$12,D6:D12)</x:f>
        <x:v>335</x:v>
      </x:c>
      <x:c r="E13" s="13" t="s">
        <x:v>22</x:v>
      </x:c>
    </x:row>
    <x:row r="14">
      <x:c r="A14" s="9"/>
      <x:c r="B14" s="9"/>
      <x:c r="C14" s="9"/>
      <x:c r="D14" s="9"/>
      <x:c r="E14" s="9"/>
    </x:row>
    <x:row r="15">
      <x:c r="A15" s="9"/>
      <x:c r="B15" s="9"/>
      <x:c r="C15" s="9"/>
      <x:c r="D15" s="9"/>
      <x:c r="E15" s="9"/>
    </x:row>
    <x:row r="16">
      <x:c r="A16" s="14" t="s">
        <x:v>23</x:v>
      </x:c>
      <x:c r="B16" s="9"/>
      <x:c r="C16" s="9"/>
      <x:c r="D16" s="9"/>
      <x:c r="E16" s="9"/>
    </x:row>
    <x:row r="17" ht="58" customHeight="1">
      <x:c r="A17" s="19" t="s">
        <x:v>24</x:v>
      </x:c>
      <x:c r="B17" s="19"/>
      <x:c r="C17" s="16"/>
      <x:c r="D17" s="16"/>
    </x:row>
    <x:row r="20">
      <x:c r="A20" s="20" t="s">
        <x:v>25</x:v>
      </x:c>
      <x:c r="B20" s="18"/>
    </x:row>
    <x:row r="21">
      <x:c r="A21" s="18" t="s">
        <x:v>26</x:v>
      </x:c>
      <x:c r="B21" s="18" t="s">
        <x:v>27</x:v>
      </x:c>
    </x:row>
    <x:row r="22">
      <x:c r="A22" s="18" t="s">
        <x:v>28</x:v>
      </x:c>
      <x:c r="B22" s="18" t="s">
        <x:v>29</x:v>
      </x:c>
    </x:row>
    <x:row r="23">
      <x:c r="A23" s="20" t="s">
        <x:v>30</x:v>
      </x:c>
      <x:c r="B23" s="18"/>
    </x:row>
    <x:row r="24">
      <x:c r="A24" s="18" t="s">
        <x:v>31</x:v>
      </x:c>
      <x:c r="B24" s="18" t="s">
        <x:v>32</x:v>
      </x:c>
    </x:row>
  </x:sheetData>
  <x:mergeCells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8.83203125" style="10" customWidth="1"/>
    <x:col min="2" max="2" width="86.6640625" style="10" customWidth="1"/>
    <x:col min="3" max="16384" width="8.83203125" style="10" customWidth="0"/>
  </x:cols>
  <x:sheetData>
    <x:row r="1" ht="28">
      <x:c r="A1" s="17" t="s">
        <x:v>33</x:v>
      </x:c>
      <x:c r="B1" s="9"/>
    </x:row>
    <x:row r="2">
      <x:c r="A2" s="9"/>
      <x:c r="B2" s="9"/>
    </x:row>
    <x:row r="3">
      <x:c r="A3" s="9" t="s">
        <x:v>34</x:v>
      </x:c>
      <x:c r="B3" s="21">
        <x:v>46194</x:v>
      </x:c>
    </x:row>
    <x:row r="4" ht="28">
      <x:c r="A4" s="9" t="s">
        <x:v>35</x:v>
      </x:c>
      <x:c r="B4" s="9" t="s">
        <x:v>36</x:v>
      </x:c>
    </x:row>
    <x:row r="5">
      <x:c r="A5" s="9" t="s">
        <x:v>37</x:v>
      </x:c>
      <x:c r="B5" s="9" t="s">
        <x:v>38</x:v>
      </x:c>
    </x:row>
    <x:row r="6">
      <x:c r="A6" s="9"/>
      <x:c r="B6" s="9"/>
    </x:row>
    <x:row r="7">
      <x:c r="A7" s="14" t="s">
        <x:v>39</x:v>
      </x:c>
      <x:c r="B7" s="9"/>
    </x:row>
    <x:row r="8">
      <x:c r="A8" s="11" t="s">
        <x:v>40</x:v>
      </x:c>
      <x:c r="B8" s="11" t="s">
        <x:v>41</x:v>
      </x:c>
    </x:row>
    <x:row r="9">
      <x:c r="A9" s="12" t="s">
        <x:v>42</x:v>
      </x:c>
      <x:c r="B9" s="12">
        <x:v>20</x:v>
      </x:c>
    </x:row>
    <x:row r="10">
      <x:c r="A10" s="12" t="s">
        <x:v>43</x:v>
      </x:c>
      <x:c r="B10" s="12">
        <x:v>10000</x:v>
      </x:c>
    </x:row>
    <x:row r="11">
      <x:c r="A11" s="12" t="s">
        <x:v>44</x:v>
      </x:c>
      <x:c r="B11" s="12">
        <x:v>100000</x:v>
      </x:c>
    </x:row>
    <x:row r="12">
      <x:c r="A12" s="12" t="s">
        <x:v>45</x:v>
      </x:c>
      <x:c r="B12" s="12" t="n">
        <x:f>B9*B10</x:f>
        <x:v>200000</x:v>
      </x:c>
    </x:row>
    <x:row r="13">
      <x:c r="A13" s="12" t="s">
        <x:v>46</x:v>
      </x:c>
      <x:c r="B13" s="12" t="n">
        <x:f>B9*((B10+B11)/2)</x:f>
        <x:v>1100000</x:v>
      </x:c>
    </x:row>
    <x:row r="14">
      <x:c r="A14" s="12" t="s">
        <x:v>47</x:v>
      </x:c>
      <x:c r="B14" s="12" t="n">
        <x:f>B9*B11</x:f>
        <x:v>2000000</x:v>
      </x:c>
    </x:row>
    <x:row r="15">
      <x:c r="A15" s="12" t="s">
        <x:v>48</x:v>
      </x:c>
      <x:c r="B15" s="12" t="s">
        <x:v>49</x:v>
      </x:c>
    </x:row>
    <x:row r="16">
      <x:c r="A16" s="9"/>
      <x:c r="B16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21.110000610351562" style="10" hidden="0" customWidth="1"/>
    <x:col min="2" max="2" width="52.220001220703125" style="10" hidden="0" customWidth="1"/>
    <x:col min="3" max="3" width="52.220001220703125" style="10" hidden="0" customWidth="1"/>
    <x:col min="4" max="4" width="57.779998779296875" style="10" hidden="0" customWidth="1"/>
    <x:col min="5" max="16384" width="8.83203125" style="10" customWidth="0"/>
  </x:cols>
  <x:sheetData>
    <x:row r="1">
      <x:c r="A1" s="22" t="s">
        <x:v>50</x:v>
      </x:c>
      <x:c r="B1" s="9"/>
      <x:c r="C1" s="9"/>
      <x:c r="D1" s="9"/>
    </x:row>
    <x:row r="2">
      <x:c r="A2" s="9"/>
      <x:c r="B2" s="9"/>
      <x:c r="C2" s="9"/>
      <x:c r="D2" s="9"/>
    </x:row>
    <x:row r="3">
      <x:c r="A3" s="14" t="s">
        <x:v>26</x:v>
      </x:c>
      <x:c r="B3" s="9"/>
      <x:c r="C3" s="9"/>
      <x:c r="D3" s="9"/>
    </x:row>
    <x:row r="4">
      <x:c r="A4" s="15" t="s">
        <x:v>51</x:v>
      </x:c>
      <x:c r="B4" s="15"/>
      <x:c r="C4" s="15"/>
      <x:c r="D4" s="15"/>
    </x:row>
    <x:row r="5">
      <x:c r="A5" s="9"/>
      <x:c r="B5" s="9"/>
      <x:c r="C5" s="9"/>
      <x:c r="D5" s="9"/>
    </x:row>
    <x:row r="6">
      <x:c r="A6" s="9"/>
      <x:c r="B6" s="9"/>
      <x:c r="C6" s="9"/>
      <x:c r="D6" s="9"/>
    </x:row>
    <x:row r="7">
      <x:c r="A7" s="11" t="s">
        <x:v>52</x:v>
      </x:c>
      <x:c r="B7" s="11" t="s">
        <x:v>53</x:v>
      </x:c>
      <x:c r="C7" s="11" t="s">
        <x:v>54</x:v>
      </x:c>
      <x:c r="D7" s="11" t="s">
        <x:v>55</x:v>
      </x:c>
    </x:row>
    <x:row r="8" ht="56">
      <x:c r="A8" s="12" t="s">
        <x:v>5</x:v>
      </x:c>
      <x:c r="B8" s="31" t="str">
        <x:v>Schneller Start; wenig technischer Initialaufwand; unkomplizierter Test ohne festes langfristiges Commitment; Betrieb, Skalierung und Grund-Monitoring liegen beim Anbieter.</x:v>
      </x:c>
      <x:c r="C8" s="31" t="str">
        <x:v>Gut geeignet, um kurzfristig zu validieren, ob ein externer Anbieter den Link-/QR-Prozess zuverlässig abbildet und welche echten Kosten bei unserem Volumen entstehen.</x:v>
      </x:c>
      <x:c r="D8" s="31" t="str">
        <x:v>Kurzfristige Pilotkampagne, Vergleich von Reporting/Exporten, SLA- und Datenschutzprüfung, Preisbenchmark für Eigenbau-Entscheidung.</x:v>
      </x:c>
    </x:row>
    <x:row r="9" ht="56">
      <x:c r="A9" s="12" t="s">
        <x:v>4</x:v>
      </x:c>
      <x:c r="B9" s="31" t="str">
        <x:v>Sehr hoher Prozess-Fit; Eingaben, Validierung, Exporte und Reporting können exakt auf CSM/Data/Produktion zugeschnitten werden; laufender Betrieb ist ohne externen Admin voraussichtlich deutlich günstiger als Enterprise-Markttools.</x:v>
      </x:c>
      <x:c r="C9" s="31" t="str">
        <x:v>Der Eigenbau wäre voraussichtlich der beste Fit, wenn der heutige Malin-Prozess sauber ersetzt und perspektivisch verbessert werden soll. Gleichzeitig trägt CMC mehr Verantwortung für Betrieb, Monitoring und Ausfallsicherheit.</x:v>
      </x:c>
      <x:c r="D9" s="31" t="str">
        <x:v>Rollen/Rechte, Freigabe-Workflow, Kampagnen-Dashboard, automatische Plausibilitätschecks, QR-Export als ZIP, Data-Export, Historie/Audit-Log, Warnungen bei fehlerhaften Ziel-URLs.</x:v>
      </x:c>
    </x:row>
    <x:row r="10">
      <x:c r="A10" s="9"/>
      <x:c r="B10" s="9"/>
      <x:c r="C10" s="9"/>
      <x:c r="D10" s="9"/>
    </x:row>
    <x:row r="11">
      <x:c r="A11" s="9"/>
      <x:c r="B11" s="9"/>
      <x:c r="C11" s="9"/>
      <x:c r="D11" s="9"/>
    </x:row>
    <x:row r="12">
      <x:c r="A12" s="9"/>
      <x:c r="B12" s="9"/>
      <x:c r="C12" s="9"/>
      <x:c r="D12" s="9"/>
    </x:row>
    <x:row r="13">
      <x:c r="A13" s="20" t="s">
        <x:v>56</x:v>
      </x:c>
      <x:c r="B13" s="9"/>
      <x:c r="C13" s="9"/>
      <x:c r="D13" s="9"/>
    </x:row>
    <x:row r="14">
      <x:c r="A14" s="11" t="s">
        <x:v>57</x:v>
      </x:c>
      <x:c r="B14" s="11" t="s">
        <x:v>58</x:v>
      </x:c>
      <x:c r="C14" s="9"/>
      <x:c r="D14" s="9"/>
    </x:row>
    <x:row r="15" ht="56">
      <x:c r="A15" s="12" t="s">
        <x:v>59</x:v>
      </x:c>
      <x:c r="B15" s="12" t="s">
        <x:v>60</x:v>
      </x:c>
      <x:c r="C15" s="9"/>
      <x:c r="D15" s="9"/>
    </x:row>
    <x:row r="16" ht="56">
      <x:c r="A16" s="12" t="s">
        <x:v>61</x:v>
      </x:c>
      <x:c r="B16" s="12" t="s">
        <x:v>62</x:v>
      </x:c>
      <x:c r="C16" s="9"/>
      <x:c r="D16" s="9"/>
    </x:row>
    <x:row r="17" ht="56">
      <x:c r="A17" s="12" t="s">
        <x:v>63</x:v>
      </x:c>
      <x:c r="B17" s="12" t="s">
        <x:v>64</x:v>
      </x:c>
      <x:c r="C17" s="9"/>
      <x:c r="D17" s="9"/>
    </x:row>
    <x:row r="19">
      <x:c r="A19" s="33" t="str">
        <x:v>Zusätzliche Chancen / Abwägungen</x:v>
      </x:c>
    </x:row>
    <x:row r="20">
      <x:c r="A20" s="51" t="str">
        <x:v>Thema</x:v>
      </x:c>
      <x:c r="B20" s="51" t="str">
        <x:v>Eigenbau</x:v>
      </x:c>
      <x:c r="C20" s="51" t="str">
        <x:v>Markttool</x:v>
      </x:c>
      <x:c r="D20" s="51" t="str">
        <x:v>Einordnung</x:v>
      </x:c>
    </x:row>
    <x:row r="21">
      <x:c r="A21" s="43" t="str">
        <x:v>Betriebskosten vs. Ausfallrisiko</x:v>
      </x:c>
      <x:c r="B21" s="43" t="str">
        <x:v>Ohne externen Admin voraussichtlich deutlich günstiger im laufenden Betrieb. Dafür muss Monitoring, Backup, Incident-Reaktion und Verantwortlichkeit sauber aufgesetzt werden.</x:v>
      </x:c>
      <x:c r="C21" s="43" t="str">
        <x:v>Laufend teurer bzw. bei Enterprise-Volumen oft Custom Pricing, dafür übernimmt der Anbieter einen großen Teil von Betrieb und Skalierung.</x:v>
      </x:c>
      <x:c r="D21" s="43" t="str">
        <x:v>Ja: Eigenbau kann günstiger sein, birgt aber mehr Betriebsrisiko, wenn kein sauberer Betrieb definiert wird.</x:v>
      </x:c>
    </x:row>
    <x:row r="22">
      <x:c r="A22" s="43" t="str">
        <x:v>Erweiterbarkeit</x:v>
      </x:c>
      <x:c r="B22" s="43" t="str">
        <x:v>Sehr gut erweiterbar, wenn modular gebaut: weitere Exporte, interne Workflows, Reporting, Rollen/Rechte, Integrationen zu Data/CRM/Produktion.</x:v>
      </x:c>
      <x:c r="C22" s="43" t="str">
        <x:v>Erweiterbarkeit abhängig von API, Exporten, Tarif und Roadmap des Anbieters.</x:v>
      </x:c>
      <x:c r="D22" s="43" t="str">
        <x:v>Eigenbau bietet hier die größere strategische Chance, weil CMC den Funktionsumfang selbst steuern kann.</x:v>
      </x:c>
    </x:row>
    <x:row r="23">
      <x:c r="A23" s="43" t="str">
        <x:v>Produktisierung / Abo</x:v>
      </x:c>
      <x:c r="B23" s="43" t="str">
        <x:v>Langfristig grundsätzlich denkbar, wenn das Tool stabil, dokumentiert und mandantenfähig gebaut wird.</x:v>
      </x:c>
      <x:c r="C23" s="43" t="str">
        <x:v>Nicht relevant, wenn ein externer Anbieter genutzt wird.</x:v>
      </x:c>
      <x:c r="D23" s="43" t="str">
        <x:v>Als optionale Zukunftschance aufnehmen, aber nicht als Hauptargument für die aktuelle Entscheidung. Dafür bräuchte es später separaten Business Case, Support, SLA, Datenschutz, Abrechnung und Produktverantwortung.</x:v>
      </x:c>
    </x:row>
  </x:sheetData>
  <x:mergeCells>
    <x:mergeCell ref="A4:D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31.110000610351562" style="10" hidden="0" customWidth="1"/>
    <x:col min="2" max="3" width="16.6640625" style="10" customWidth="1"/>
    <x:col min="4" max="4" width="13.329999923706055" style="10" hidden="0" customWidth="1"/>
    <x:col min="5" max="6" width="15.5" style="10" customWidth="1"/>
    <x:col min="7" max="7" width="16.670000076293945" style="10" hidden="0" customWidth="1"/>
    <x:col min="8" max="8" width="55.560001373291016" style="10" hidden="0" customWidth="1"/>
    <x:col min="9" max="16384" width="8.83203125" style="10" customWidth="0"/>
    <x:col min="2" max="2" width="47.779998779296875" hidden="0" customWidth="1"/>
    <x:col min="3" max="3" width="57.779998779296875" hidden="0" customWidth="1"/>
    <x:col min="5" max="5" width="15.5600004196167" hidden="0" customWidth="1"/>
    <x:col min="6" max="6" width="15.5600004196167" hidden="0" customWidth="1"/>
  </x:cols>
  <x:sheetData>
    <x:row r="1">
      <x:c r="A1" s="22" t="s">
        <x:v>65</x:v>
      </x:c>
      <x:c r="B1" s="9"/>
      <x:c r="C1" s="9"/>
      <x:c r="D1" s="9"/>
      <x:c r="E1" s="9"/>
      <x:c r="F1" s="9"/>
      <x:c r="G1" s="9"/>
      <x:c r="H1" s="9"/>
    </x:row>
    <x:row r="2">
      <x:c r="A2" s="9"/>
      <x:c r="B2" s="9"/>
      <x:c r="C2" s="9"/>
      <x:c r="D2" s="9"/>
      <x:c r="E2" s="9"/>
      <x:c r="F2" s="9"/>
      <x:c r="G2" s="9"/>
      <x:c r="H2" s="9"/>
    </x:row>
    <x:row r="3">
      <x:c r="A3" s="14" t="s">
        <x:v>66</x:v>
      </x:c>
      <x:c r="B3" s="9"/>
      <x:c r="C3" s="9"/>
      <x:c r="D3" s="9"/>
      <x:c r="E3" s="9"/>
      <x:c r="F3" s="9"/>
      <x:c r="G3" s="9"/>
      <x:c r="H3" s="9"/>
    </x:row>
    <x:row r="4">
      <x:c r="A4" s="11" t="s">
        <x:v>67</x:v>
      </x:c>
      <x:c r="B4" s="11" t="s">
        <x:v>68</x:v>
      </x:c>
      <x:c r="C4" s="11" t="s">
        <x:v>69</x:v>
      </x:c>
      <x:c r="D4" s="11" t="s">
        <x:v>6</x:v>
      </x:c>
      <x:c r="E4" s="9"/>
      <x:c r="F4" s="9"/>
      <x:c r="G4" s="9"/>
      <x:c r="H4" s="9"/>
    </x:row>
    <x:row r="5" ht="28">
      <x:c r="A5" s="12" t="s">
        <x:v>70</x:v>
      </x:c>
      <x:c r="B5" s="24">
        <x:v>40</x:v>
      </x:c>
      <x:c r="C5" s="24">
        <x:v>60</x:v>
      </x:c>
      <x:c r="D5" s="12" t="s">
        <x:v>71</x:v>
      </x:c>
      <x:c r="E5" s="9"/>
      <x:c r="F5" s="9"/>
      <x:c r="G5" s="9"/>
      <x:c r="H5" s="9"/>
    </x:row>
    <x:row r="6">
      <x:c r="A6" s="12" t="s">
        <x:v>72</x:v>
      </x:c>
      <x:c r="B6" s="25">
        <x:v>85</x:v>
      </x:c>
      <x:c r="C6" s="25">
        <x:v>85</x:v>
      </x:c>
      <x:c r="D6" s="12" t="s">
        <x:v>73</x:v>
      </x:c>
      <x:c r="E6" s="9"/>
      <x:c r="F6" s="9"/>
      <x:c r="G6" s="9"/>
      <x:c r="H6" s="9"/>
    </x:row>
    <x:row r="7" ht="28">
      <x:c r="A7" s="13" t="s">
        <x:v>74</x:v>
      </x:c>
      <x:c r="B7" s="26" t="n">
        <x:f>B5*B6</x:f>
        <x:v>3400</x:v>
      </x:c>
      <x:c r="C7" s="26" t="n">
        <x:f>C5*C6</x:f>
        <x:v>5100</x:v>
      </x:c>
      <x:c r="D7" s="13" t="s">
        <x:v>75</x:v>
      </x:c>
      <x:c r="E7" s="9"/>
      <x:c r="F7" s="9"/>
      <x:c r="G7" s="9"/>
      <x:c r="H7" s="9"/>
    </x:row>
    <x:row r="8">
      <x:c r="A8" s="9"/>
      <x:c r="B8" s="9"/>
      <x:c r="C8" s="9"/>
      <x:c r="D8" s="9"/>
      <x:c r="E8" s="9"/>
      <x:c r="F8" s="9"/>
      <x:c r="G8" s="9"/>
      <x:c r="H8" s="9"/>
    </x:row>
    <x:row r="9">
      <x:c r="A9" s="9"/>
      <x:c r="B9" s="9"/>
      <x:c r="C9" s="9"/>
      <x:c r="D9" s="9"/>
      <x:c r="E9" s="9"/>
      <x:c r="F9" s="9"/>
      <x:c r="G9" s="9"/>
      <x:c r="H9" s="9"/>
    </x:row>
    <x:row r="10">
      <x:c r="A10" s="14" t="s">
        <x:v>76</x:v>
      </x:c>
      <x:c r="B10" s="9"/>
      <x:c r="C10" s="9"/>
      <x:c r="D10" s="9"/>
      <x:c r="E10" s="9"/>
      <x:c r="F10" s="9"/>
      <x:c r="G10" s="9"/>
      <x:c r="H10" s="9"/>
    </x:row>
    <x:row r="11">
      <x:c r="A11" s="11" t="s">
        <x:v>77</x:v>
      </x:c>
      <x:c r="B11" s="11" t="s">
        <x:v>78</x:v>
      </x:c>
      <x:c r="C11" s="11" t="s">
        <x:v>79</x:v>
      </x:c>
      <x:c r="D11" s="11" t="s">
        <x:v>6</x:v>
      </x:c>
      <x:c r="E11" s="9"/>
      <x:c r="F11" s="9"/>
      <x:c r="G11" s="9"/>
      <x:c r="H11" s="9"/>
    </x:row>
    <x:row r="12" ht="28">
      <x:c r="A12" s="12" t="s">
        <x:v>80</x:v>
      </x:c>
      <x:c r="B12" s="25">
        <x:v>20</x:v>
      </x:c>
      <x:c r="C12" s="25">
        <x:v>50</x:v>
      </x:c>
      <x:c r="D12" s="12" t="s">
        <x:v>81</x:v>
      </x:c>
      <x:c r="E12" s="9"/>
      <x:c r="F12" s="9"/>
      <x:c r="G12" s="9"/>
      <x:c r="H12" s="9"/>
    </x:row>
    <x:row r="13">
      <x:c r="A13" s="12" t="s">
        <x:v>82</x:v>
      </x:c>
      <x:c r="B13" s="25">
        <x:v>5</x:v>
      </x:c>
      <x:c r="C13" s="25">
        <x:v>20</x:v>
      </x:c>
      <x:c r="D13" s="12" t="s">
        <x:v>83</x:v>
      </x:c>
      <x:c r="E13" s="9"/>
      <x:c r="F13" s="9"/>
      <x:c r="G13" s="9"/>
      <x:c r="H13" s="9"/>
    </x:row>
    <x:row r="14">
      <x:c r="A14" s="12" t="s">
        <x:v>84</x:v>
      </x:c>
      <x:c r="B14" s="25">
        <x:v>0</x:v>
      </x:c>
      <x:c r="C14" s="25">
        <x:v>30</x:v>
      </x:c>
      <x:c r="D14" s="12" t="s">
        <x:v>85</x:v>
      </x:c>
      <x:c r="E14" s="9"/>
      <x:c r="F14" s="9"/>
      <x:c r="G14" s="9"/>
      <x:c r="H14" s="9"/>
    </x:row>
    <x:row r="15" ht="28">
      <x:c r="A15" s="12" t="s">
        <x:v>86</x:v>
      </x:c>
      <x:c r="B15" s="25">
        <x:v>0</x:v>
      </x:c>
      <x:c r="C15" s="25">
        <x:v>10</x:v>
      </x:c>
      <x:c r="D15" s="12" t="s">
        <x:v>87</x:v>
      </x:c>
      <x:c r="E15" s="9"/>
      <x:c r="F15" s="9"/>
      <x:c r="G15" s="9"/>
      <x:c r="H15" s="9"/>
    </x:row>
    <x:row r="16">
      <x:c r="A16" s="12" t="s">
        <x:v>88</x:v>
      </x:c>
      <x:c r="B16" s="25">
        <x:v>0</x:v>
      </x:c>
      <x:c r="C16" s="25">
        <x:v>500</x:v>
      </x:c>
      <x:c r="D16" s="12" t="s">
        <x:v>89</x:v>
      </x:c>
      <x:c r="E16" s="9"/>
      <x:c r="F16" s="9"/>
      <x:c r="G16" s="9"/>
      <x:c r="H16" s="9"/>
    </x:row>
    <x:row r="17" ht="28">
      <x:c r="A17" s="13" t="s">
        <x:v>90</x:v>
      </x:c>
      <x:c r="B17" s="26" t="n">
        <x:f>SUM(B12:B15)</x:f>
        <x:v>25</x:v>
      </x:c>
      <x:c r="C17" s="26" t="n">
        <x:f>SUM(C12:C15)</x:f>
        <x:v>110</x:v>
      </x:c>
      <x:c r="D17" s="13" t="s">
        <x:v>91</x:v>
      </x:c>
      <x:c r="E17" s="9"/>
      <x:c r="F17" s="9"/>
      <x:c r="G17" s="9"/>
      <x:c r="H17" s="9"/>
    </x:row>
    <x:row r="18" ht="28">
      <x:c r="A18" s="27" t="s">
        <x:v>92</x:v>
      </x:c>
      <x:c r="B18" s="28" t="n">
        <x:f>B17+B16</x:f>
        <x:v>25</x:v>
      </x:c>
      <x:c r="C18" s="28" t="n">
        <x:f>C17+C16</x:f>
        <x:v>610</x:v>
      </x:c>
      <x:c r="D18" s="27" t="s">
        <x:v>93</x:v>
      </x:c>
      <x:c r="E18" s="9"/>
      <x:c r="F18" s="9"/>
      <x:c r="G18" s="9"/>
      <x:c r="H18" s="9"/>
    </x:row>
    <x:row r="19">
      <x:c r="A19" s="9"/>
      <x:c r="B19" s="9"/>
      <x:c r="C19" s="9"/>
      <x:c r="D19" s="9"/>
      <x:c r="E19" s="9"/>
      <x:c r="F19" s="9"/>
      <x:c r="G19" s="9"/>
      <x:c r="H19" s="9"/>
    </x:row>
    <x:row r="20">
      <x:c r="A20" s="9"/>
      <x:c r="B20" s="9"/>
      <x:c r="C20" s="9"/>
      <x:c r="D20" s="9"/>
      <x:c r="E20" s="9"/>
      <x:c r="F20" s="9"/>
      <x:c r="G20" s="9"/>
      <x:c r="H20" s="9"/>
    </x:row>
    <x:row r="21">
      <x:c r="A21" s="14" t="s">
        <x:v>94</x:v>
      </x:c>
      <x:c r="B21" s="9"/>
      <x:c r="C21" s="9"/>
      <x:c r="D21" s="9"/>
      <x:c r="E21" s="9"/>
      <x:c r="F21" s="9"/>
      <x:c r="G21" s="9"/>
      <x:c r="H21" s="9"/>
    </x:row>
    <x:row r="22" ht="28">
      <x:c r="A22" s="11" t="s">
        <x:v>95</x:v>
      </x:c>
      <x:c r="B22" s="11" t="s">
        <x:v>96</x:v>
      </x:c>
      <x:c r="C22" s="11" t="s">
        <x:v>97</x:v>
      </x:c>
      <x:c r="D22" s="11" t="s">
        <x:v>98</x:v>
      </x:c>
      <x:c r="E22" s="11" t="s">
        <x:v>99</x:v>
      </x:c>
      <x:c r="F22" s="11" t="s">
        <x:v>100</x:v>
      </x:c>
      <x:c r="G22" s="11" t="s">
        <x:v>101</x:v>
      </x:c>
      <x:c r="H22" s="11" t="s">
        <x:v>102</x:v>
      </x:c>
    </x:row>
    <x:row r="23">
      <x:c r="A23" s="12" t="s">
        <x:v>103</x:v>
      </x:c>
      <x:c r="B23" s="25" t="n">
        <x:f>B7</x:f>
        <x:v>3400</x:v>
      </x:c>
      <x:c r="C23" s="25" t="n">
        <x:f>C7</x:f>
        <x:v>5100</x:v>
      </x:c>
      <x:c r="D23" s="25" t="n">
        <x:f>B17</x:f>
        <x:v>25</x:v>
      </x:c>
      <x:c r="E23" s="25" t="n">
        <x:f>C17</x:f>
        <x:v>110</x:v>
      </x:c>
      <x:c r="F23" s="25" t="n">
        <x:f>B23+D23*12</x:f>
        <x:v>3700</x:v>
      </x:c>
      <x:c r="G23" s="25" t="n">
        <x:f>C23+E23*12</x:f>
        <x:v>6420</x:v>
      </x:c>
      <x:c r="H23" s="12" t="s">
        <x:v>104</x:v>
      </x:c>
    </x:row>
    <x:row r="24">
      <x:c r="A24" s="12" t="s">
        <x:v>105</x:v>
      </x:c>
      <x:c r="B24" s="25" t="n">
        <x:f>B7</x:f>
        <x:v>3400</x:v>
      </x:c>
      <x:c r="C24" s="25" t="n">
        <x:f>C7</x:f>
        <x:v>5100</x:v>
      </x:c>
      <x:c r="D24" s="25" t="n">
        <x:f>B18</x:f>
        <x:v>25</x:v>
      </x:c>
      <x:c r="E24" s="25" t="n">
        <x:f>C18</x:f>
        <x:v>610</x:v>
      </x:c>
      <x:c r="F24" s="25" t="n">
        <x:f>B24+D24*12</x:f>
        <x:v>3700</x:v>
      </x:c>
      <x:c r="G24" s="25" t="n">
        <x:f>C24+E24*12</x:f>
        <x:v>12420</x:v>
      </x:c>
      <x:c r="H24" s="12" t="s">
        <x:v>106</x:v>
      </x:c>
    </x:row>
    <x:row r="25" ht="28">
      <x:c r="A25" s="12" t="s">
        <x:v>107</x:v>
      </x:c>
      <x:c r="B25" s="25">
        <x:v>0</x:v>
      </x:c>
      <x:c r="C25" s="25">
        <x:v>0</x:v>
      </x:c>
      <x:c r="D25" s="25">
        <x:v>148</x:v>
      </x:c>
      <x:c r="E25" s="25" t="s">
        <x:v>108</x:v>
      </x:c>
      <x:c r="F25" s="25" t="n">
        <x:f>D25*12</x:f>
        <x:v>1776</x:v>
      </x:c>
      <x:c r="G25" s="25" t="s">
        <x:v>108</x:v>
      </x:c>
      <x:c r="H25" s="12" t="s">
        <x:v>109</x:v>
      </x:c>
    </x:row>
    <x:row r="26" ht="28">
      <x:c r="A26" s="12" t="s">
        <x:v>110</x:v>
      </x:c>
      <x:c r="B26" s="25">
        <x:v>0</x:v>
      </x:c>
      <x:c r="C26" s="25">
        <x:v>0</x:v>
      </x:c>
      <x:c r="D26" s="29" t="s">
        <x:v>111</x:v>
      </x:c>
      <x:c r="E26" s="29" t="s">
        <x:v>111</x:v>
      </x:c>
      <x:c r="F26" s="29" t="s">
        <x:v>111</x:v>
      </x:c>
      <x:c r="G26" s="29" t="s">
        <x:v>111</x:v>
      </x:c>
      <x:c r="H26" s="12" t="s">
        <x:v>112</x:v>
      </x:c>
    </x:row>
    <x:row r="29">
      <x:c r="A29" s="33" t="str">
        <x:v>Offene Berechnungsparameter</x:v>
      </x:c>
    </x:row>
    <x:row r="30">
      <x:c r="A30" s="51" t="str">
        <x:v>Frage</x:v>
      </x:c>
      <x:c r="B30" s="51" t="str">
        <x:v>Warum wichtig?</x:v>
      </x:c>
      <x:c r="C30" s="51" t="str">
        <x:v>Benötigte Angabe</x:v>
      </x:c>
      <x:c r="D30" s="51" t="str">
        <x:v>Status</x:v>
      </x:c>
    </x:row>
    <x:row r="31">
      <x:c r="A31" s="43" t="str">
        <x:v>Heutiges Mengengerüst</x:v>
      </x:c>
      <x:c r="B31" s="43" t="str">
        <x:v>Basis für realistische Anbieteranfragen und Betriebskosten.</x:v>
      </x:c>
      <x:c r="C31" s="43" t="str">
        <x:v>Kampagnen/Monat, Links/Kampagne, Klicks/Scans, Laufzeit der Links.</x:v>
      </x:c>
      <x:c r="D31" s="43" t="str">
        <x:v>offen</x:v>
      </x:c>
    </x:row>
    <x:row r="32">
      <x:c r="A32" s="43" t="str">
        <x:v>Mittelfristiges Mengengerüst</x:v>
      </x:c>
      <x:c r="B32" s="43" t="str">
        <x:v>Verhindert, dass eine Lösung kurzfristig passt, aber in 6-12 Monaten zu klein oder zu teuer wird.</x:v>
      </x:c>
      <x:c r="C32" s="43" t="str">
        <x:v>Zielwert für Kampagnen/Monat, Links/Kampagne und erwartetes Wachstum.</x:v>
      </x:c>
      <x:c r="D32" s="43" t="str">
        <x:v>offen</x:v>
      </x:c>
    </x:row>
    <x:row r="33">
      <x:c r="A33" s="43" t="str">
        <x:v>Betrieb mit Rent your Admin</x:v>
      </x:c>
      <x:c r="B33" s="43" t="str">
        <x:v>Kann der größte laufende Kostenblock im Eigenbau-Szenario sein.</x:v>
      </x:c>
      <x:c r="C33" s="43" t="str">
        <x:v>Monatspauschale, enthaltene Leistungen, Reaktionszeiten, Rufbereitschaft, Zusatzkosten.</x:v>
      </x:c>
      <x:c r="D33" s="43" t="str">
        <x:v>offen</x:v>
      </x:c>
    </x:row>
    <x:row r="34">
      <x:c r="A34" s="43" t="str">
        <x:v>Ausfallsicherheit</x:v>
      </x:c>
      <x:c r="B34" s="43" t="str">
        <x:v>Relevant, weil fehlerhafte Links laufende Mailings direkt gefährden.</x:v>
      </x:c>
      <x:c r="C34" s="43" t="str">
        <x:v>SLA-Ziel, Monitoring, Backup-/Restore-Konzept, Fallback-Prozess.</x:v>
      </x:c>
      <x:c r="D34" s="43" t="str">
        <x:v>offen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28.889999389648438" style="10" hidden="0" customWidth="1"/>
    <x:col min="2" max="2" width="43.33000183105469" style="10" hidden="0" customWidth="1"/>
    <x:col min="3" max="3" width="72.22000122070312" style="10" hidden="0" customWidth="1"/>
    <x:col min="4" max="5" width="25.5" style="10" customWidth="1"/>
    <x:col min="6" max="6" width="25.559999465942383" style="10" hidden="0" customWidth="1"/>
    <x:col min="7" max="7" width="21.110000610351562" style="10" hidden="0" customWidth="1"/>
    <x:col min="8" max="8" width="23.329999923706055" style="10" hidden="0" customWidth="1"/>
    <x:col min="9" max="9" width="21.110000610351562" style="10" hidden="0" customWidth="1"/>
    <x:col min="10" max="10" width="18.889999389648438" style="10" hidden="0" customWidth="1"/>
    <x:col min="11" max="11" width="44.439998626708984" style="10" hidden="0" customWidth="1"/>
    <x:col min="12" max="16384" width="8.83203125" style="10" customWidth="0"/>
    <x:col min="4" max="4" width="21.110000610351562" hidden="0" customWidth="1"/>
    <x:col min="5" max="5" width="25.559999465942383" hidden="0" customWidth="1"/>
  </x:cols>
  <x:sheetData>
    <x:row r="1">
      <x:c r="A1" s="17" t="s">
        <x:v>113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>
      <x:c r="A3" s="11" t="s">
        <x:v>114</x:v>
      </x:c>
      <x:c r="B3" s="11" t="s">
        <x:v>115</x:v>
      </x:c>
      <x:c r="C3" s="11" t="s">
        <x:v>4</x:v>
      </x:c>
      <x:c r="D3" s="11" t="s">
        <x:v>116</x:v>
      </x:c>
      <x:c r="E3" s="11" t="s">
        <x:v>117</x:v>
      </x:c>
      <x:c r="F3" s="11" t="s">
        <x:v>118</x:v>
      </x:c>
      <x:c r="G3" s="11" t="s">
        <x:v>119</x:v>
      </x:c>
      <x:c r="H3" s="11" t="s">
        <x:v>120</x:v>
      </x:c>
      <x:c r="I3" s="11" t="s">
        <x:v>121</x:v>
      </x:c>
      <x:c r="J3" s="11" t="s">
        <x:v>122</x:v>
      </x:c>
      <x:c r="K3" s="11" t="s">
        <x:v>6</x:v>
      </x:c>
    </x:row>
    <x:row r="4" ht="28">
      <x:c r="A4" s="12" t="s">
        <x:v>123</x:v>
      </x:c>
      <x:c r="B4" s="12" t="s">
        <x:v>124</x:v>
      </x:c>
      <x:c r="C4" s="12" t="s">
        <x:v>125</x:v>
      </x:c>
      <x:c r="D4" s="12" t="s">
        <x:v>126</x:v>
      </x:c>
      <x:c r="E4" s="12" t="s">
        <x:v>127</x:v>
      </x:c>
      <x:c r="F4" s="12" t="s">
        <x:v>128</x:v>
      </x:c>
      <x:c r="G4" s="12" t="s">
        <x:v>129</x:v>
      </x:c>
      <x:c r="H4" s="12" t="s">
        <x:v>128</x:v>
      </x:c>
      <x:c r="I4" s="12" t="s">
        <x:v>130</x:v>
      </x:c>
      <x:c r="J4" s="12" t="s">
        <x:v>131</x:v>
      </x:c>
      <x:c r="K4" s="12" t="s">
        <x:v>132</x:v>
      </x:c>
    </x:row>
    <x:row r="5">
      <x:c r="A5" s="12" t="s">
        <x:v>133</x:v>
      </x:c>
      <x:c r="B5" s="12" t="s">
        <x:v>124</x:v>
      </x:c>
      <x:c r="C5" s="12" t="s">
        <x:v>134</x:v>
      </x:c>
      <x:c r="D5" s="12" t="s">
        <x:v>134</x:v>
      </x:c>
      <x:c r="E5" s="12" t="s">
        <x:v>134</x:v>
      </x:c>
      <x:c r="F5" s="12" t="s">
        <x:v>134</x:v>
      </x:c>
      <x:c r="G5" s="12" t="s">
        <x:v>134</x:v>
      </x:c>
      <x:c r="H5" s="12" t="s">
        <x:v>134</x:v>
      </x:c>
      <x:c r="I5" s="12" t="s">
        <x:v>134</x:v>
      </x:c>
      <x:c r="J5" s="12" t="s">
        <x:v>134</x:v>
      </x:c>
      <x:c r="K5" s="12" t="s">
        <x:v>135</x:v>
      </x:c>
    </x:row>
    <x:row r="6">
      <x:c r="A6" s="12" t="s">
        <x:v>136</x:v>
      </x:c>
      <x:c r="B6" s="12" t="s">
        <x:v>124</x:v>
      </x:c>
      <x:c r="C6" s="12" t="s">
        <x:v>134</x:v>
      </x:c>
      <x:c r="D6" s="12" t="s">
        <x:v>134</x:v>
      </x:c>
      <x:c r="E6" s="12" t="s">
        <x:v>134</x:v>
      </x:c>
      <x:c r="F6" s="12" t="s">
        <x:v>137</x:v>
      </x:c>
      <x:c r="G6" s="12" t="s">
        <x:v>138</x:v>
      </x:c>
      <x:c r="H6" s="12" t="s">
        <x:v>134</x:v>
      </x:c>
      <x:c r="I6" s="12" t="s">
        <x:v>139</x:v>
      </x:c>
      <x:c r="J6" s="12" t="s">
        <x:v>140</x:v>
      </x:c>
      <x:c r="K6" s="12" t="s">
        <x:v>141</x:v>
      </x:c>
    </x:row>
    <x:row r="7">
      <x:c r="A7" s="12" t="s">
        <x:v>142</x:v>
      </x:c>
      <x:c r="B7" s="12" t="s">
        <x:v>124</x:v>
      </x:c>
      <x:c r="C7" s="12" t="s">
        <x:v>143</x:v>
      </x:c>
      <x:c r="D7" s="12" t="s">
        <x:v>134</x:v>
      </x:c>
      <x:c r="E7" s="12" t="s">
        <x:v>134</x:v>
      </x:c>
      <x:c r="F7" s="12" t="s">
        <x:v>134</x:v>
      </x:c>
      <x:c r="G7" s="12" t="s">
        <x:v>134</x:v>
      </x:c>
      <x:c r="H7" s="12" t="s">
        <x:v>134</x:v>
      </x:c>
      <x:c r="I7" s="12" t="s">
        <x:v>134</x:v>
      </x:c>
      <x:c r="J7" s="12" t="s">
        <x:v>134</x:v>
      </x:c>
      <x:c r="K7" s="12" t="s">
        <x:v>144</x:v>
      </x:c>
    </x:row>
    <x:row r="8">
      <x:c r="A8" s="12" t="s">
        <x:v>145</x:v>
      </x:c>
      <x:c r="B8" s="12" t="s">
        <x:v>124</x:v>
      </x:c>
      <x:c r="C8" s="12" t="s">
        <x:v>134</x:v>
      </x:c>
      <x:c r="D8" s="12" t="s">
        <x:v>134</x:v>
      </x:c>
      <x:c r="E8" s="12" t="s">
        <x:v>146</x:v>
      </x:c>
      <x:c r="F8" s="12" t="s">
        <x:v>134</x:v>
      </x:c>
      <x:c r="G8" s="12" t="s">
        <x:v>134</x:v>
      </x:c>
      <x:c r="H8" s="12" t="s">
        <x:v>134</x:v>
      </x:c>
      <x:c r="I8" s="12" t="s">
        <x:v>134</x:v>
      </x:c>
      <x:c r="J8" s="12" t="s">
        <x:v>134</x:v>
      </x:c>
      <x:c r="K8" s="12" t="s">
        <x:v>147</x:v>
      </x:c>
    </x:row>
    <x:row r="9">
      <x:c r="A9" s="12" t="s">
        <x:v>148</x:v>
      </x:c>
      <x:c r="B9" s="12" t="s">
        <x:v>124</x:v>
      </x:c>
      <x:c r="C9" s="12" t="s">
        <x:v>134</x:v>
      </x:c>
      <x:c r="D9" s="12" t="s">
        <x:v>149</x:v>
      </x:c>
      <x:c r="E9" s="12" t="s">
        <x:v>150</x:v>
      </x:c>
      <x:c r="F9" s="12" t="s">
        <x:v>151</x:v>
      </x:c>
      <x:c r="G9" s="12" t="s">
        <x:v>134</x:v>
      </x:c>
      <x:c r="H9" s="12" t="s">
        <x:v>134</x:v>
      </x:c>
      <x:c r="I9" s="12" t="s">
        <x:v>134</x:v>
      </x:c>
      <x:c r="J9" s="12" t="s">
        <x:v>152</x:v>
      </x:c>
      <x:c r="K9" s="12" t="s">
        <x:v>153</x:v>
      </x:c>
    </x:row>
    <x:row r="10" ht="28">
      <x:c r="A10" s="12" t="s">
        <x:v>154</x:v>
      </x:c>
      <x:c r="B10" s="12" t="s">
        <x:v>124</x:v>
      </x:c>
      <x:c r="C10" s="12" t="s">
        <x:v>155</x:v>
      </x:c>
      <x:c r="D10" s="12" t="s">
        <x:v>156</x:v>
      </x:c>
      <x:c r="E10" s="12" t="s">
        <x:v>157</x:v>
      </x:c>
      <x:c r="F10" s="12" t="s">
        <x:v>158</x:v>
      </x:c>
      <x:c r="G10" s="12" t="s">
        <x:v>159</x:v>
      </x:c>
      <x:c r="H10" s="12" t="s">
        <x:v>160</x:v>
      </x:c>
      <x:c r="I10" s="12" t="s">
        <x:v>161</x:v>
      </x:c>
      <x:c r="J10" s="12" t="s">
        <x:v>162</x:v>
      </x:c>
      <x:c r="K10" s="12" t="s">
        <x:v>163</x:v>
      </x:c>
    </x:row>
    <x:row r="11">
      <x:c r="A11" s="12" t="s">
        <x:v>164</x:v>
      </x:c>
      <x:c r="B11" s="12" t="s">
        <x:v>165</x:v>
      </x:c>
      <x:c r="C11" s="12" t="s">
        <x:v>166</x:v>
      </x:c>
      <x:c r="D11" s="12" t="s">
        <x:v>167</x:v>
      </x:c>
      <x:c r="E11" s="12" t="s">
        <x:v>168</x:v>
      </x:c>
      <x:c r="F11" s="12" t="s">
        <x:v>134</x:v>
      </x:c>
      <x:c r="G11" s="12" t="s">
        <x:v>134</x:v>
      </x:c>
      <x:c r="H11" s="12" t="s">
        <x:v>134</x:v>
      </x:c>
      <x:c r="I11" s="12" t="s">
        <x:v>134</x:v>
      </x:c>
      <x:c r="J11" s="12" t="s">
        <x:v>134</x:v>
      </x:c>
      <x:c r="K11" s="12" t="s">
        <x:v>169</x:v>
      </x:c>
    </x:row>
    <x:row r="12" ht="28">
      <x:c r="A12" s="12" t="s">
        <x:v>170</x:v>
      </x:c>
      <x:c r="B12" s="12" t="s">
        <x:v>171</x:v>
      </x:c>
      <x:c r="C12" s="12" t="s">
        <x:v>172</x:v>
      </x:c>
      <x:c r="D12" s="12" t="s">
        <x:v>173</x:v>
      </x:c>
      <x:c r="E12" s="12" t="s">
        <x:v>173</x:v>
      </x:c>
      <x:c r="F12" s="12" t="s">
        <x:v>173</x:v>
      </x:c>
      <x:c r="G12" s="12" t="s">
        <x:v>173</x:v>
      </x:c>
      <x:c r="H12" s="12" t="s">
        <x:v>173</x:v>
      </x:c>
      <x:c r="I12" s="12" t="s">
        <x:v>173</x:v>
      </x:c>
      <x:c r="J12" s="12" t="s">
        <x:v>173</x:v>
      </x:c>
      <x:c r="K12" s="12" t="s">
        <x:v>174</x:v>
      </x:c>
    </x:row>
    <x:row r="13" ht="28">
      <x:c r="A13" s="12" t="s">
        <x:v>175</x:v>
      </x:c>
      <x:c r="B13" s="12" t="s">
        <x:v>124</x:v>
      </x:c>
      <x:c r="C13" s="12" t="s">
        <x:v>176</x:v>
      </x:c>
      <x:c r="D13" s="12" t="s">
        <x:v>177</x:v>
      </x:c>
      <x:c r="E13" s="12" t="s">
        <x:v>178</x:v>
      </x:c>
      <x:c r="F13" s="12" t="s">
        <x:v>179</x:v>
      </x:c>
      <x:c r="G13" s="12" t="s">
        <x:v>179</x:v>
      </x:c>
      <x:c r="H13" s="12" t="s">
        <x:v>179</x:v>
      </x:c>
      <x:c r="I13" s="12" t="s">
        <x:v>179</x:v>
      </x:c>
      <x:c r="J13" s="12" t="s">
        <x:v>179</x:v>
      </x:c>
      <x:c r="K13" s="12" t="s">
        <x:v>180</x:v>
      </x:c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</x:row>
    <x:row r="16">
      <x:c r="A16" s="48" t="str">
        <x:v>Quellenhinweise zur Matrix - Features / Dokumentation</x:v>
      </x:c>
      <x:c r="B16" s="49"/>
      <x:c r="C16" s="49"/>
      <x:c r="D16" s="9"/>
      <x:c r="E16" s="9"/>
      <x:c r="F16" s="9"/>
      <x:c r="G16" s="9"/>
      <x:c r="H16" s="9"/>
      <x:c r="I16" s="9"/>
      <x:c r="J16" s="9"/>
      <x:c r="K16" s="9"/>
    </x:row>
    <x:row r="17">
      <x:c r="A17" s="54" t="str">
        <x:v>Anbieter</x:v>
      </x:c>
      <x:c r="B17" s="54" t="str">
        <x:v>Quelle</x:v>
      </x:c>
      <x:c r="C17" s="54" t="str">
        <x:v>Wofür verwendet</x:v>
      </x:c>
      <x:c r="D17" s="9"/>
      <x:c r="E17" s="9"/>
      <x:c r="F17" s="9"/>
      <x:c r="G17" s="9"/>
      <x:c r="H17" s="9"/>
      <x:c r="I17" s="9"/>
      <x:c r="J17" s="9"/>
      <x:c r="K17" s="9"/>
    </x:row>
    <x:row r="18" ht="56">
      <x:c r="A18" s="47" t="str">
        <x:v>Short.io</x:v>
      </x:c>
      <x:c r="B18" s="47" t="str">
        <x:v>https://short.io/features</x:v>
      </x:c>
      <x:c r="C18" s="47" t="str">
        <x:v>Features: Bulk/API, Rollen, Tracking, Custom Domains, QR-Code, Export/Import, SLA/GDPR-Hinweise</x:v>
      </x:c>
      <x:c r="D18" s="9"/>
      <x:c r="E18" s="9"/>
      <x:c r="F18" s="9"/>
      <x:c r="G18" s="9"/>
      <x:c r="H18" s="9"/>
      <x:c r="I18" s="9"/>
      <x:c r="J18" s="9"/>
      <x:c r="K18" s="9"/>
    </x:row>
    <x:row r="19" ht="56">
      <x:c r="A19" s="47" t="str">
        <x:v>Dub</x:v>
      </x:c>
      <x:c r="B19" s="47" t="str">
        <x:v>https://dub.co/docs</x:v>
      </x:c>
      <x:c r="C19" s="47" t="str">
        <x:v>Feature-/Dokumentationsquelle: Short Links, Bulk Link Creation, Analytics, Webhooks, API, Integrationen</x:v>
      </x:c>
      <x:c r="D19" s="9"/>
      <x:c r="E19" s="9"/>
      <x:c r="F19" s="9"/>
      <x:c r="G19" s="9"/>
      <x:c r="H19" s="9"/>
      <x:c r="I19" s="9"/>
      <x:c r="J19" s="9"/>
      <x:c r="K19" s="9"/>
    </x:row>
    <x:row r="20" ht="42">
      <x:c r="A20" s="47" t="str">
        <x:v>Bitly</x:v>
      </x:c>
      <x:c r="B20" s="47" t="str">
        <x:v>https://bitly.com/pages/products/url-shortener</x:v>
      </x:c>
      <x:c r="C20" s="47" t="str">
        <x:v>Featurequelle: Link Management, Custom Domains, QR-Codes, Analytics, Kampagnenfunktionen</x:v>
      </x:c>
      <x:c r="D20" s="9"/>
      <x:c r="E20" s="9"/>
      <x:c r="F20" s="9"/>
      <x:c r="G20" s="9"/>
      <x:c r="H20" s="9"/>
      <x:c r="I20" s="9"/>
      <x:c r="J20" s="9"/>
      <x:c r="K20" s="9"/>
    </x:row>
    <x:row r="21" ht="42">
      <x:c r="A21" s="47" t="str">
        <x:v>Rebrandly</x:v>
      </x:c>
      <x:c r="B21" s="47" t="str">
        <x:v>https://www.rebrandly.com/features</x:v>
      </x:c>
      <x:c r="C21" s="47" t="str">
        <x:v>Featurequelle: Branded Links, Analytics, QR-Codes, API/Link Management</x:v>
      </x:c>
      <x:c r="D21" s="9"/>
      <x:c r="E21" s="9"/>
      <x:c r="F21" s="9"/>
      <x:c r="G21" s="9"/>
      <x:c r="H21" s="9"/>
      <x:c r="I21" s="9"/>
      <x:c r="J21" s="9"/>
      <x:c r="K21" s="9"/>
    </x:row>
    <x:row r="22" ht="42">
      <x:c r="A22" s="47" t="str">
        <x:v>BL.INK</x:v>
      </x:c>
      <x:c r="B22" s="47" t="str">
        <x:v>https://www.bl.ink/features</x:v>
      </x:c>
      <x:c r="C22" s="47" t="str">
        <x:v>Featurequelle: Short URLs, QR-Codes, Analytics, API/Integrationen, Enterprise/Compliance</x:v>
      </x:c>
      <x:c r="D22" s="9"/>
      <x:c r="E22" s="9"/>
      <x:c r="F22" s="9"/>
      <x:c r="G22" s="9"/>
      <x:c r="H22" s="9"/>
      <x:c r="I22" s="9"/>
      <x:c r="J22" s="9"/>
      <x:c r="K22" s="9"/>
    </x:row>
    <x:row r="23" ht="56">
      <x:c r="A23" s="47" t="str">
        <x:v>T2M</x:v>
      </x:c>
      <x:c r="B23" s="47" t="str">
        <x:v>https://t2mio.com/</x:v>
      </x:c>
      <x:c r="C23" s="47" t="str">
        <x:v>Featurequelle: URL Shortener, QR-Codes, Analytics, API, Kampagnen- und Teamfunktionen</x:v>
      </x:c>
      <x:c r="D23" s="9"/>
      <x:c r="E23" s="9"/>
      <x:c r="F23" s="9"/>
      <x:c r="G23" s="9"/>
      <x:c r="H23" s="9"/>
      <x:c r="I23" s="9"/>
      <x:c r="J23" s="9"/>
      <x:c r="K23" s="9"/>
    </x:row>
    <x:row r="24" ht="42">
      <x:c r="A24" s="47" t="str">
        <x:v>Linkly</x:v>
      </x:c>
      <x:c r="B24" s="47" t="str">
        <x:v>https://linklyhq.com/features</x:v>
      </x:c>
      <x:c r="C24" s="47" t="str">
        <x:v>Featurequelle: Link Tracking, Analytics, QR-Codes und Kampagnenfunktionen</x:v>
      </x:c>
      <x:c r="D24" s="9"/>
      <x:c r="E24" s="9"/>
      <x:c r="F24" s="9"/>
      <x:c r="G24" s="9"/>
      <x:c r="H24" s="9"/>
      <x:c r="I24" s="9"/>
      <x:c r="J24" s="9"/>
      <x:c r="K24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17.83203125" customWidth="1"/>
    <x:col min="2" max="2" width="23.33203125" customWidth="1"/>
    <x:col min="3" max="3" width="28.83203125" customWidth="1"/>
    <x:col min="4" max="4" width="36.6640625" customWidth="1"/>
    <x:col min="5" max="5" width="40" customWidth="1"/>
    <x:col min="6" max="6" width="46.6640625" customWidth="1"/>
  </x:cols>
  <x:sheetData>
    <x:row r="1" ht="20" customHeight="1">
      <x:c r="A1" s="4" t="s">
        <x:v>181</x:v>
      </x:c>
      <x:c r="B1" s="1"/>
      <x:c r="C1" s="1"/>
      <x:c r="D1" s="1"/>
      <x:c r="E1" s="1"/>
      <x:c r="F1" s="1"/>
    </x:row>
    <x:row r="2" ht="20" customHeight="1">
      <x:c r="A2" s="1"/>
      <x:c r="B2" s="1"/>
      <x:c r="C2" s="1"/>
      <x:c r="D2" s="1"/>
      <x:c r="E2" s="1"/>
      <x:c r="F2" s="1"/>
    </x:row>
    <x:row r="3" ht="32" customHeight="1">
      <x:c r="A3" s="1" t="s">
        <x:v>26</x:v>
      </x:c>
      <x:c r="B3" s="6" t="s">
        <x:v>182</x:v>
      </x:c>
      <x:c r="C3" s="6" t="s">
        <x:v>182</x:v>
      </x:c>
      <x:c r="D3" s="6" t="s">
        <x:v>182</x:v>
      </x:c>
      <x:c r="E3" s="6" t="s">
        <x:v>182</x:v>
      </x:c>
      <x:c r="F3" s="6" t="s">
        <x:v>182</x:v>
      </x:c>
    </x:row>
    <x:row r="4" ht="20" customHeight="1">
      <x:c r="A4" s="1"/>
      <x:c r="B4" s="1"/>
      <x:c r="C4" s="1"/>
      <x:c r="D4" s="1"/>
      <x:c r="E4" s="1"/>
      <x:c r="F4" s="1"/>
    </x:row>
    <x:row r="5" ht="20" customHeight="1">
      <x:c r="A5" s="2" t="s">
        <x:v>183</x:v>
      </x:c>
      <x:c r="B5" s="2" t="s">
        <x:v>184</x:v>
      </x:c>
      <x:c r="C5" s="2" t="s">
        <x:v>185</x:v>
      </x:c>
      <x:c r="D5" s="2" t="s">
        <x:v>186</x:v>
      </x:c>
      <x:c r="E5" s="2" t="s">
        <x:v>187</x:v>
      </x:c>
      <x:c r="F5" s="2" t="s">
        <x:v>188</x:v>
      </x:c>
    </x:row>
    <x:row r="6" ht="48" customHeight="1">
      <x:c r="A6" s="3" t="s">
        <x:v>116</x:v>
      </x:c>
      <x:c r="B6" s="3" t="s">
        <x:v>189</x:v>
      </x:c>
      <x:c r="C6" s="3" t="s">
        <x:v>190</x:v>
      </x:c>
      <x:c r="D6" s="3" t="s">
        <x:v>191</x:v>
      </x:c>
      <x:c r="E6" s="3" t="s">
        <x:v>192</x:v>
      </x:c>
      <x:c r="F6" s="3" t="s">
        <x:v>193</x:v>
      </x:c>
    </x:row>
    <x:row r="7" ht="48" customHeight="1">
      <x:c r="A7" s="3" t="s">
        <x:v>117</x:v>
      </x:c>
      <x:c r="B7" s="3" t="s">
        <x:v>194</x:v>
      </x:c>
      <x:c r="C7" s="3" t="s">
        <x:v>195</x:v>
      </x:c>
      <x:c r="D7" s="3" t="s">
        <x:v>196</x:v>
      </x:c>
      <x:c r="E7" s="3" t="s">
        <x:v>197</x:v>
      </x:c>
      <x:c r="F7" s="3" t="s">
        <x:v>198</x:v>
      </x:c>
    </x:row>
    <x:row r="8" ht="32" customHeight="1">
      <x:c r="A8" s="3" t="s">
        <x:v>118</x:v>
      </x:c>
      <x:c r="B8" s="3" t="s">
        <x:v>199</x:v>
      </x:c>
      <x:c r="C8" s="3" t="s">
        <x:v>200</x:v>
      </x:c>
      <x:c r="D8" s="3" t="s">
        <x:v>201</x:v>
      </x:c>
      <x:c r="E8" s="3" t="s">
        <x:v>202</x:v>
      </x:c>
      <x:c r="F8" s="3" t="s">
        <x:v>203</x:v>
      </x:c>
    </x:row>
    <x:row r="9" ht="32" customHeight="1">
      <x:c r="A9" s="3" t="s">
        <x:v>119</x:v>
      </x:c>
      <x:c r="B9" s="3" t="s">
        <x:v>199</x:v>
      </x:c>
      <x:c r="C9" s="3" t="s">
        <x:v>204</x:v>
      </x:c>
      <x:c r="D9" s="3" t="s">
        <x:v>205</x:v>
      </x:c>
      <x:c r="E9" s="3" t="s">
        <x:v>206</x:v>
      </x:c>
      <x:c r="F9" s="3" t="s">
        <x:v>207</x:v>
      </x:c>
    </x:row>
    <x:row r="10" ht="32" customHeight="1">
      <x:c r="A10" s="3" t="s">
        <x:v>120</x:v>
      </x:c>
      <x:c r="B10" s="3" t="s">
        <x:v>208</x:v>
      </x:c>
      <x:c r="C10" s="3" t="s">
        <x:v>209</x:v>
      </x:c>
      <x:c r="D10" s="3" t="s">
        <x:v>210</x:v>
      </x:c>
      <x:c r="E10" s="3" t="s">
        <x:v>211</x:v>
      </x:c>
      <x:c r="F10" s="3" t="s">
        <x:v>212</x:v>
      </x:c>
    </x:row>
    <x:row r="11" ht="32" customHeight="1">
      <x:c r="A11" s="3" t="s">
        <x:v>121</x:v>
      </x:c>
      <x:c r="B11" s="3" t="s">
        <x:v>213</x:v>
      </x:c>
      <x:c r="C11" s="3" t="s">
        <x:v>214</x:v>
      </x:c>
      <x:c r="D11" s="3" t="s">
        <x:v>215</x:v>
      </x:c>
      <x:c r="E11" s="3" t="s">
        <x:v>216</x:v>
      </x:c>
      <x:c r="F11" s="3" t="s">
        <x:v>217</x:v>
      </x:c>
    </x:row>
    <x:row r="12" ht="32" customHeight="1">
      <x:c r="A12" s="3" t="s">
        <x:v>122</x:v>
      </x:c>
      <x:c r="B12" s="3" t="s">
        <x:v>218</x:v>
      </x:c>
      <x:c r="C12" s="3" t="s">
        <x:v>219</x:v>
      </x:c>
      <x:c r="D12" s="3" t="s">
        <x:v>220</x:v>
      </x:c>
      <x:c r="E12" s="3" t="s">
        <x:v>221</x:v>
      </x:c>
      <x:c r="F12" s="3" t="s">
        <x:v>222</x:v>
      </x:c>
    </x:row>
    <x:row r="13" ht="32" customHeight="1">
      <x:c r="A13" s="3" t="s">
        <x:v>223</x:v>
      </x:c>
      <x:c r="B13" s="3" t="s">
        <x:v>218</x:v>
      </x:c>
      <x:c r="C13" s="3" t="s">
        <x:v>224</x:v>
      </x:c>
      <x:c r="D13" s="3" t="s">
        <x:v>225</x:v>
      </x:c>
      <x:c r="E13" s="3" t="s">
        <x:v>226</x:v>
      </x:c>
      <x:c r="F13" s="3" t="s">
        <x:v>227</x:v>
      </x:c>
    </x:row>
    <x:row r="14" ht="20" customHeight="1">
      <x:c r="A14" s="1"/>
      <x:c r="B14" s="1"/>
      <x:c r="C14" s="1"/>
      <x:c r="D14" s="1"/>
      <x:c r="E14" s="1"/>
      <x:c r="F14" s="1"/>
    </x:row>
    <x:row r="15" ht="20" customHeight="1">
      <x:c r="A15" s="1"/>
      <x:c r="B15" s="1"/>
      <x:c r="C15" s="1"/>
      <x:c r="D15" s="1"/>
      <x:c r="E15" s="1"/>
      <x:c r="F15" s="1"/>
    </x:row>
    <x:row r="16" ht="20" customHeight="1">
      <x:c r="A16" s="5" t="s">
        <x:v>228</x:v>
      </x:c>
      <x:c r="B16" s="1"/>
      <x:c r="C16" s="1"/>
      <x:c r="D16" s="1"/>
      <x:c r="E16" s="1"/>
      <x:c r="F16" s="1"/>
    </x:row>
    <x:row r="17" ht="20" customHeight="1">
      <x:c r="A17" s="2" t="s">
        <x:v>183</x:v>
      </x:c>
      <x:c r="B17" s="2" t="s">
        <x:v>229</x:v>
      </x:c>
      <x:c r="C17" s="1"/>
      <x:c r="D17" s="1"/>
      <x:c r="E17" s="1"/>
      <x:c r="F17" s="1"/>
    </x:row>
    <x:row r="18" ht="20" customHeight="1">
      <x:c r="A18" s="3" t="s">
        <x:v>116</x:v>
      </x:c>
      <x:c r="B18" s="3" t="s">
        <x:v>230</x:v>
      </x:c>
      <x:c r="C18" s="1"/>
      <x:c r="D18" s="1"/>
      <x:c r="E18" s="1"/>
      <x:c r="F18" s="1"/>
    </x:row>
    <x:row r="19" ht="20" customHeight="1">
      <x:c r="A19" s="3" t="s">
        <x:v>117</x:v>
      </x:c>
      <x:c r="B19" s="3" t="s">
        <x:v>231</x:v>
      </x:c>
      <x:c r="C19" s="1"/>
      <x:c r="D19" s="1"/>
      <x:c r="E19" s="1"/>
      <x:c r="F19" s="1"/>
    </x:row>
    <x:row r="20" ht="20" customHeight="1">
      <x:c r="A20" s="3" t="s">
        <x:v>118</x:v>
      </x:c>
      <x:c r="B20" s="3" t="s">
        <x:v>232</x:v>
      </x:c>
      <x:c r="C20" s="1"/>
      <x:c r="D20" s="1"/>
      <x:c r="E20" s="1"/>
      <x:c r="F20" s="1"/>
    </x:row>
    <x:row r="21" ht="20" customHeight="1">
      <x:c r="A21" s="3" t="s">
        <x:v>119</x:v>
      </x:c>
      <x:c r="B21" s="3" t="s">
        <x:v>233</x:v>
      </x:c>
      <x:c r="C21" s="1"/>
      <x:c r="D21" s="1"/>
      <x:c r="E21" s="1"/>
      <x:c r="F21" s="1"/>
    </x:row>
    <x:row r="22" ht="20" customHeight="1">
      <x:c r="A22" s="3" t="s">
        <x:v>120</x:v>
      </x:c>
      <x:c r="B22" s="3" t="s">
        <x:v>234</x:v>
      </x:c>
      <x:c r="C22" s="1"/>
      <x:c r="D22" s="1"/>
      <x:c r="E22" s="1"/>
      <x:c r="F22" s="1"/>
    </x:row>
    <x:row r="23" ht="20" customHeight="1">
      <x:c r="A23" s="3" t="s">
        <x:v>121</x:v>
      </x:c>
      <x:c r="B23" s="3" t="s">
        <x:v>235</x:v>
      </x:c>
      <x:c r="C23" s="1"/>
      <x:c r="D23" s="1"/>
      <x:c r="E23" s="1"/>
      <x:c r="F23" s="1"/>
    </x:row>
    <x:row r="24" ht="20" customHeight="1">
      <x:c r="A24" s="3" t="s">
        <x:v>122</x:v>
      </x:c>
      <x:c r="B24" s="30" t="s">
        <x:v>236</x:v>
      </x:c>
      <x:c r="C24" s="1"/>
      <x:c r="D24" s="1"/>
      <x:c r="E24" s="1"/>
      <x:c r="F24" s="1"/>
    </x:row>
    <x:row r="25" ht="32" customHeight="1">
      <x:c r="A25" s="3" t="s">
        <x:v>223</x:v>
      </x:c>
      <x:c r="B25" s="3" t="s">
        <x:v>237</x:v>
      </x:c>
      <x:c r="C25" s="1"/>
      <x:c r="D25" s="1"/>
      <x:c r="E25" s="1"/>
      <x:c r="F25" s="1"/>
    </x:row>
  </x:sheetData>
  <x:mergeCells>
    <x:mergeCell ref="B3:F3"/>
  </x:mergeCells>
  <x:hyperlinks>
    <x:hyperlink xmlns:r="http://schemas.openxmlformats.org/officeDocument/2006/relationships" ref="B24" r:id="R1647e777cc7048e3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36.66999816894531" style="10" hidden="0" customWidth="1"/>
    <x:col min="2" max="2" width="62.220001220703125" style="10" hidden="0" customWidth="1"/>
    <x:col min="3" max="3" width="47.779998779296875" style="10" hidden="0" customWidth="1"/>
    <x:col min="4" max="16384" width="8.83203125" style="10" customWidth="0"/>
  </x:cols>
  <x:sheetData>
    <x:row r="1">
      <x:c r="A1" s="17" t="s">
        <x:v>238</x:v>
      </x:c>
      <x:c r="B1" s="9"/>
      <x:c r="C1" s="9"/>
    </x:row>
    <x:row r="2">
      <x:c r="A2" s="9"/>
      <x:c r="B2" s="9"/>
      <x:c r="C2" s="9"/>
    </x:row>
    <x:row r="3">
      <x:c r="A3" s="14" t="s">
        <x:v>239</x:v>
      </x:c>
      <x:c r="B3" s="9"/>
      <x:c r="C3" s="9"/>
    </x:row>
    <x:row r="4">
      <x:c r="A4" s="11" t="s">
        <x:v>240</x:v>
      </x:c>
      <x:c r="B4" s="11" t="s">
        <x:v>241</x:v>
      </x:c>
      <x:c r="C4" s="11" t="s">
        <x:v>242</x:v>
      </x:c>
    </x:row>
    <x:row r="5" ht="28">
      <x:c r="A5" s="12" t="s">
        <x:v>243</x:v>
      </x:c>
      <x:c r="B5" s="12" t="s">
        <x:v>244</x:v>
      </x:c>
      <x:c r="C5" s="12" t="s">
        <x:v>245</x:v>
      </x:c>
    </x:row>
    <x:row r="6" ht="28">
      <x:c r="A6" s="12" t="s">
        <x:v>246</x:v>
      </x:c>
      <x:c r="B6" s="12" t="s">
        <x:v>247</x:v>
      </x:c>
      <x:c r="C6" s="12" t="s">
        <x:v>248</x:v>
      </x:c>
    </x:row>
    <x:row r="7" ht="42">
      <x:c r="A7" s="12" t="s">
        <x:v>249</x:v>
      </x:c>
      <x:c r="B7" s="12" t="s">
        <x:v>250</x:v>
      </x:c>
      <x:c r="C7" s="12" t="s">
        <x:v>251</x:v>
      </x:c>
    </x:row>
    <x:row r="8" ht="28">
      <x:c r="A8" s="12" t="s">
        <x:v>252</x:v>
      </x:c>
      <x:c r="B8" s="12" t="s">
        <x:v>253</x:v>
      </x:c>
      <x:c r="C8" s="12" t="s">
        <x:v>254</x:v>
      </x:c>
    </x:row>
    <x:row r="9">
      <x:c r="A9" s="12" t="s">
        <x:v>255</x:v>
      </x:c>
      <x:c r="B9" s="12" t="s">
        <x:v>256</x:v>
      </x:c>
      <x:c r="C9" s="12" t="s">
        <x:v>257</x:v>
      </x:c>
    </x:row>
    <x:row r="10">
      <x:c r="A10" s="12" t="s">
        <x:v>258</x:v>
      </x:c>
      <x:c r="B10" s="12" t="s">
        <x:v>259</x:v>
      </x:c>
      <x:c r="C10" s="12" t="s">
        <x:v>260</x:v>
      </x:c>
    </x:row>
    <x:row r="11" ht="28">
      <x:c r="A11" s="12" t="s">
        <x:v>261</x:v>
      </x:c>
      <x:c r="B11" s="12" t="s">
        <x:v>262</x:v>
      </x:c>
      <x:c r="C11" s="12" t="s">
        <x:v>263</x:v>
      </x:c>
    </x:row>
    <x:row r="12">
      <x:c r="A12" s="9"/>
      <x:c r="B12" s="9"/>
      <x:c r="C12" s="9"/>
    </x:row>
    <x:row r="13">
      <x:c r="A13" s="9"/>
      <x:c r="B13" s="9"/>
      <x:c r="C13" s="9"/>
    </x:row>
    <x:row r="14">
      <x:c r="A14" s="14" t="s">
        <x:v>264</x:v>
      </x:c>
      <x:c r="B14" s="9"/>
      <x:c r="C14" s="9"/>
    </x:row>
    <x:row r="15">
      <x:c r="A15" s="11" t="s">
        <x:v>57</x:v>
      </x:c>
      <x:c r="B15" s="11" t="s">
        <x:v>265</x:v>
      </x:c>
      <x:c r="C15" s="11" t="s">
        <x:v>266</x:v>
      </x:c>
    </x:row>
    <x:row r="16" ht="28">
      <x:c r="A16" s="12" t="s">
        <x:v>267</x:v>
      </x:c>
      <x:c r="B16" s="12" t="s">
        <x:v>268</x:v>
      </x:c>
      <x:c r="C16" s="12" t="s">
        <x:v>172</x:v>
      </x:c>
    </x:row>
    <x:row r="17" ht="28">
      <x:c r="A17" s="12" t="s">
        <x:v>269</x:v>
      </x:c>
      <x:c r="B17" s="12" t="s">
        <x:v>270</x:v>
      </x:c>
      <x:c r="C17" s="12" t="s">
        <x:v>172</x:v>
      </x:c>
    </x:row>
    <x:row r="18" ht="28">
      <x:c r="A18" s="12" t="s">
        <x:v>271</x:v>
      </x:c>
      <x:c r="B18" s="12" t="s">
        <x:v>272</x:v>
      </x:c>
      <x:c r="C18" s="12" t="s">
        <x:v>172</x:v>
      </x:c>
    </x:row>
    <x:row r="19" ht="28">
      <x:c r="A19" s="12" t="s">
        <x:v>273</x:v>
      </x:c>
      <x:c r="B19" s="12" t="s">
        <x:v>274</x:v>
      </x:c>
      <x:c r="C19" s="12" t="s">
        <x:v>172</x:v>
      </x:c>
    </x:row>
    <x:row r="20" ht="28">
      <x:c r="A20" s="31" t="str">
        <x:v>Datenschutz-/AVV-Kurzcheck?</x:v>
      </x:c>
      <x:c r="B20" s="31" t="str">
        <x:v>AVV/DPA, Serverstandort, Trackingdaten, Speicherfristen und Datenminimierung kurz klären.</x:v>
      </x:c>
      <x:c r="C20" s="31" t="str">
        <x:v>hoch</x:v>
      </x:c>
    </x:row>
    <x:row r="21" ht="28">
      <x:c r="A21" s="31" t="str">
        <x:v>Welche Praxisdaten fehlen?</x:v>
      </x:c>
      <x:c r="B21" s="31" t="str">
        <x:v>Beispielkampagnen, echte Exporte, gewünschtes Reporting, geschätzte Klick-/Scanmengen.</x:v>
      </x:c>
      <x:c r="C21" s="31" t="str">
        <x:v>mittel</x:v>
      </x:c>
    </x:row>
    <x:row r="22">
      <x:c r="A22" s="39" t="str">
        <x:v>Für welches Mengengerüst soll gerechnet werden?</x:v>
      </x:c>
      <x:c r="B22" s="39" t="str">
        <x:v>Heutiger Stand und mittelfristiger Zielstand: Kampagnen pro Monat, Links je Kampagne, Link-Laufzeit und erwartetes Klick-/Scanvolumen.</x:v>
      </x:c>
      <x:c r="C22" s="39" t="str">
        <x:v>hoch</x:v>
      </x:c>
    </x:row>
    <x:row r="23">
      <x:c r="A23" s="39" t="str">
        <x:v>Betrieb durch Rent your Admin?</x:v>
      </x:c>
      <x:c r="B23" s="39" t="str">
        <x:v>Konkretes Angebot für Setup, Monitoring, Backups, Incident-Reaktion, Reaktionszeiten und monatliche Pauschale einholen, da dies ein großer Kostenblock sein kann.</x:v>
      </x:c>
      <x:c r="C23" s="39" t="str">
        <x:v>hoch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1" width="20" customWidth="1"/>
    <x:col min="2" max="2" width="47.83203125" customWidth="1"/>
    <x:col min="3" max="3" width="72.1640625" customWidth="1"/>
  </x:cols>
  <x:sheetData>
    <x:row r="1" ht="28">
      <x:c r="A1" s="4" t="s">
        <x:v>275</x:v>
      </x:c>
      <x:c r="B1" s="1"/>
      <x:c r="C1" s="1"/>
    </x:row>
    <x:row r="2">
      <x:c r="A2" s="1"/>
      <x:c r="B2" s="1"/>
      <x:c r="C2" s="1"/>
    </x:row>
    <x:row r="3">
      <x:c r="A3" s="2" t="s">
        <x:v>276</x:v>
      </x:c>
      <x:c r="B3" s="2" t="s">
        <x:v>229</x:v>
      </x:c>
      <x:c r="C3" s="2" t="s">
        <x:v>277</x:v>
      </x:c>
    </x:row>
    <x:row r="4" ht="28">
      <x:c r="A4" s="3" t="s">
        <x:v>116</x:v>
      </x:c>
      <x:c r="B4" s="3" t="s">
        <x:v>230</x:v>
      </x:c>
      <x:c r="C4" s="3" t="s">
        <x:v>278</x:v>
      </x:c>
    </x:row>
    <x:row r="5" ht="28">
      <x:c r="A5" s="3" t="s">
        <x:v>117</x:v>
      </x:c>
      <x:c r="B5" s="3" t="s">
        <x:v>231</x:v>
      </x:c>
      <x:c r="C5" s="3" t="s">
        <x:v>279</x:v>
      </x:c>
    </x:row>
    <x:row r="6">
      <x:c r="A6" s="3" t="s">
        <x:v>118</x:v>
      </x:c>
      <x:c r="B6" s="3" t="s">
        <x:v>232</x:v>
      </x:c>
      <x:c r="C6" s="3" t="s">
        <x:v>280</x:v>
      </x:c>
    </x:row>
    <x:row r="7">
      <x:c r="A7" s="3" t="s">
        <x:v>119</x:v>
      </x:c>
      <x:c r="B7" s="3" t="s">
        <x:v>233</x:v>
      </x:c>
      <x:c r="C7" s="3" t="s">
        <x:v>281</x:v>
      </x:c>
    </x:row>
    <x:row r="8">
      <x:c r="A8" s="3" t="s">
        <x:v>120</x:v>
      </x:c>
      <x:c r="B8" s="3" t="s">
        <x:v>234</x:v>
      </x:c>
      <x:c r="C8" s="3" t="s">
        <x:v>282</x:v>
      </x:c>
    </x:row>
    <x:row r="9">
      <x:c r="A9" s="3" t="s">
        <x:v>122</x:v>
      </x:c>
      <x:c r="B9" s="3" t="s">
        <x:v>236</x:v>
      </x:c>
      <x:c r="C9" s="3" t="s">
        <x:v>283</x:v>
      </x:c>
    </x:row>
    <x:row r="10" ht="28">
      <x:c r="A10" s="3" t="s">
        <x:v>121</x:v>
      </x:c>
      <x:c r="B10" s="3" t="s">
        <x:v>235</x:v>
      </x:c>
      <x:c r="C10" s="3" t="s">
        <x:v>284</x:v>
      </x:c>
    </x:row>
    <x:row r="11">
      <x:c r="A11" s="3" t="s">
        <x:v>285</x:v>
      </x:c>
      <x:c r="B11" s="3" t="s">
        <x:v>237</x:v>
      </x:c>
      <x:c r="C11" s="3" t="s">
        <x:v>286</x:v>
      </x:c>
    </x:row>
  </x:sheetData>
  <x:pageMargins left="0.7" right="0.7" top="0.75" bottom="0.75" header="0.3" footer="0.3"/>
</x:worksheet>
</file>